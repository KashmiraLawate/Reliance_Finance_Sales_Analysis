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398abac143f59af3/Desktop/Reliance_Finance_Sales/"/>
    </mc:Choice>
  </mc:AlternateContent>
  <xr:revisionPtr revIDLastSave="952" documentId="8_{21686AE7-D0CC-4C6A-817D-71DDA7F6E1BE}" xr6:coauthVersionLast="47" xr6:coauthVersionMax="47" xr10:uidLastSave="{FABB3C2E-146F-4F12-9C28-4F0B851D5653}"/>
  <bookViews>
    <workbookView xWindow="-108" yWindow="-108" windowWidth="23256" windowHeight="12456" activeTab="2" xr2:uid="{EFEACC02-02B5-4840-9DD1-6FAD5242F377}"/>
  </bookViews>
  <sheets>
    <sheet name="Reliance_Finance_Sales_Dataset." sheetId="1" r:id="rId1"/>
    <sheet name="Pivot Table" sheetId="2" r:id="rId2"/>
    <sheet name="Dashboard" sheetId="5" r:id="rId3"/>
  </sheets>
  <definedNames>
    <definedName name="Branch">'Reliance_Finance_Sales_Dataset.'!$L$2:$L$1048576</definedName>
    <definedName name="Category">'Reliance_Finance_Sales_Dataset.'!$D$2:$D$1048576</definedName>
    <definedName name="Country">'Reliance_Finance_Sales_Dataset.'!$K$2:$K$1048576</definedName>
    <definedName name="Gender">'Reliance_Finance_Sales_Dataset.'!$I$2:$I$1048576</definedName>
    <definedName name="NativeTimeline_OrderDate">#N/A</definedName>
    <definedName name="OrderDate">'Reliance_Finance_Sales_Dataset.'!$B$2:$B$1048576</definedName>
    <definedName name="OrderID">'Reliance_Finance_Sales_Dataset.'!$A$2:$A$1048576</definedName>
    <definedName name="PaymentMode">'Reliance_Finance_Sales_Dataset.'!$M$2:$M$1048576</definedName>
    <definedName name="ProductName">'Reliance_Finance_Sales_Dataset.'!$C$2:$C$1048576</definedName>
    <definedName name="Quantity">'Reliance_Finance_Sales_Dataset.'!$F$2:$F$1048576</definedName>
    <definedName name="Region">'Reliance_Finance_Sales_Dataset.'!$J$2:$J$1048576</definedName>
    <definedName name="Slicer_Branch">#N/A</definedName>
    <definedName name="Slicer_Gender">#N/A</definedName>
    <definedName name="Slicer_PaymentMode">#N/A</definedName>
    <definedName name="Slicer_Region">#N/A</definedName>
    <definedName name="Slicer_SubCategory">#N/A</definedName>
    <definedName name="SubCategory">'Reliance_Finance_Sales_Dataset.'!$E$2:$E$1048576</definedName>
    <definedName name="TotalSales">'Reliance_Finance_Sales_Dataset.'!$H$2:$H$1048576</definedName>
    <definedName name="UnitPrice">'Reliance_Finance_Sales_Dataset.'!$G$2:$G$1048576</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Q26" i="1"/>
  <c r="Q25" i="1"/>
  <c r="Q24" i="1"/>
  <c r="Q23" i="1"/>
  <c r="U19" i="1"/>
  <c r="U18" i="1"/>
  <c r="U17" i="1"/>
  <c r="U16" i="1"/>
  <c r="U15" i="1"/>
  <c r="Q19" i="1"/>
  <c r="Q18" i="1"/>
  <c r="Q17" i="1"/>
  <c r="Q16" i="1"/>
  <c r="Q15" i="1"/>
  <c r="P10" i="1"/>
  <c r="P7" i="1"/>
  <c r="Q4" i="1"/>
  <c r="Q3" i="1"/>
  <c r="Q2" i="1"/>
  <c r="R18" i="1" l="1"/>
  <c r="R19" i="1"/>
  <c r="V16" i="1"/>
  <c r="V17" i="1"/>
  <c r="R16" i="1"/>
  <c r="R15" i="1"/>
  <c r="V18" i="1"/>
  <c r="R17" i="1"/>
  <c r="V15" i="1"/>
  <c r="V19" i="1"/>
</calcChain>
</file>

<file path=xl/sharedStrings.xml><?xml version="1.0" encoding="utf-8"?>
<sst xmlns="http://schemas.openxmlformats.org/spreadsheetml/2006/main" count="1883" uniqueCount="266">
  <si>
    <t>OrderID</t>
  </si>
  <si>
    <t>OrderDate</t>
  </si>
  <si>
    <t>ProductName</t>
  </si>
  <si>
    <t>Category</t>
  </si>
  <si>
    <t>SubCategory</t>
  </si>
  <si>
    <t>Quantity</t>
  </si>
  <si>
    <t>UnitPrice</t>
  </si>
  <si>
    <t>TotalSales</t>
  </si>
  <si>
    <t>Gender</t>
  </si>
  <si>
    <t>Region</t>
  </si>
  <si>
    <t>Country</t>
  </si>
  <si>
    <t>Branch</t>
  </si>
  <si>
    <t>PaymentMode</t>
  </si>
  <si>
    <t>RFIN-1000</t>
  </si>
  <si>
    <t>Mutual Fund</t>
  </si>
  <si>
    <t>Investment</t>
  </si>
  <si>
    <t>Female</t>
  </si>
  <si>
    <t>Delhi</t>
  </si>
  <si>
    <t>India</t>
  </si>
  <si>
    <t>Branch-4</t>
  </si>
  <si>
    <t>UPI</t>
  </si>
  <si>
    <t>RFIN-1001</t>
  </si>
  <si>
    <t>Kolkata</t>
  </si>
  <si>
    <t>Branch-3</t>
  </si>
  <si>
    <t>Cheque</t>
  </si>
  <si>
    <t>RFIN-1002</t>
  </si>
  <si>
    <t>Debt Fund</t>
  </si>
  <si>
    <t>Chennai</t>
  </si>
  <si>
    <t>Credit Card</t>
  </si>
  <si>
    <t>RFIN-1003</t>
  </si>
  <si>
    <t>Equity</t>
  </si>
  <si>
    <t>RFIN-1004</t>
  </si>
  <si>
    <t>Male</t>
  </si>
  <si>
    <t>Mumbai</t>
  </si>
  <si>
    <t>Branch-1</t>
  </si>
  <si>
    <t>RFIN-1005</t>
  </si>
  <si>
    <t>RFIN-1006</t>
  </si>
  <si>
    <t>RFIN-1007</t>
  </si>
  <si>
    <t>Pension Plan</t>
  </si>
  <si>
    <t>Others</t>
  </si>
  <si>
    <t>Bangalore</t>
  </si>
  <si>
    <t>Branch-5</t>
  </si>
  <si>
    <t>RFIN-1008</t>
  </si>
  <si>
    <t>Branch-2</t>
  </si>
  <si>
    <t>RFIN-1009</t>
  </si>
  <si>
    <t>RFIN-1010</t>
  </si>
  <si>
    <t>Insurance</t>
  </si>
  <si>
    <t>RFIN-1011</t>
  </si>
  <si>
    <t>RFIN-1012</t>
  </si>
  <si>
    <t>RFIN-1013</t>
  </si>
  <si>
    <t>Net Banking</t>
  </si>
  <si>
    <t>RFIN-1014</t>
  </si>
  <si>
    <t>RFIN-1015</t>
  </si>
  <si>
    <t>RFIN-1016</t>
  </si>
  <si>
    <t>RFIN-1017</t>
  </si>
  <si>
    <t>RFIN-1018</t>
  </si>
  <si>
    <t>RFIN-1019</t>
  </si>
  <si>
    <t>RFIN-1020</t>
  </si>
  <si>
    <t>RFIN-1021</t>
  </si>
  <si>
    <t>RFIN-1022</t>
  </si>
  <si>
    <t>RFIN-1023</t>
  </si>
  <si>
    <t>RFIN-1024</t>
  </si>
  <si>
    <t>RFIN-1025</t>
  </si>
  <si>
    <t>RFIN-1026</t>
  </si>
  <si>
    <t>RFIN-1027</t>
  </si>
  <si>
    <t>RFIN-1028</t>
  </si>
  <si>
    <t>RFIN-1029</t>
  </si>
  <si>
    <t>RFIN-1030</t>
  </si>
  <si>
    <t>RFIN-1031</t>
  </si>
  <si>
    <t>RFIN-1032</t>
  </si>
  <si>
    <t>RFIN-1033</t>
  </si>
  <si>
    <t>RFIN-1034</t>
  </si>
  <si>
    <t>RFIN-1035</t>
  </si>
  <si>
    <t>RFIN-1036</t>
  </si>
  <si>
    <t>RFIN-1037</t>
  </si>
  <si>
    <t>RFIN-1038</t>
  </si>
  <si>
    <t>RFIN-1039</t>
  </si>
  <si>
    <t>RFIN-1040</t>
  </si>
  <si>
    <t>RFIN-1041</t>
  </si>
  <si>
    <t>RFIN-1042</t>
  </si>
  <si>
    <t>RFIN-1043</t>
  </si>
  <si>
    <t>RFIN-1044</t>
  </si>
  <si>
    <t>RFIN-1045</t>
  </si>
  <si>
    <t>RFIN-1046</t>
  </si>
  <si>
    <t>RFIN-1047</t>
  </si>
  <si>
    <t>RFIN-1048</t>
  </si>
  <si>
    <t>RFIN-1049</t>
  </si>
  <si>
    <t>RFIN-1050</t>
  </si>
  <si>
    <t>RFIN-1051</t>
  </si>
  <si>
    <t>RFIN-1052</t>
  </si>
  <si>
    <t>RFIN-1053</t>
  </si>
  <si>
    <t>RFIN-1054</t>
  </si>
  <si>
    <t>RFIN-1055</t>
  </si>
  <si>
    <t>RFIN-1056</t>
  </si>
  <si>
    <t>RFIN-1057</t>
  </si>
  <si>
    <t>RFIN-1058</t>
  </si>
  <si>
    <t>RFIN-1059</t>
  </si>
  <si>
    <t>RFIN-1060</t>
  </si>
  <si>
    <t>RFIN-1061</t>
  </si>
  <si>
    <t>RFIN-1062</t>
  </si>
  <si>
    <t>RFIN-1063</t>
  </si>
  <si>
    <t>RFIN-1064</t>
  </si>
  <si>
    <t>RFIN-1065</t>
  </si>
  <si>
    <t>RFIN-1066</t>
  </si>
  <si>
    <t>RFIN-1067</t>
  </si>
  <si>
    <t>RFIN-1068</t>
  </si>
  <si>
    <t>RFIN-1069</t>
  </si>
  <si>
    <t>RFIN-1070</t>
  </si>
  <si>
    <t>RFIN-1071</t>
  </si>
  <si>
    <t>RFIN-1072</t>
  </si>
  <si>
    <t>RFIN-1073</t>
  </si>
  <si>
    <t>RFIN-1074</t>
  </si>
  <si>
    <t>RFIN-1075</t>
  </si>
  <si>
    <t>RFIN-1076</t>
  </si>
  <si>
    <t>RFIN-1077</t>
  </si>
  <si>
    <t>RFIN-1078</t>
  </si>
  <si>
    <t>RFIN-1079</t>
  </si>
  <si>
    <t>RFIN-1080</t>
  </si>
  <si>
    <t>RFIN-1081</t>
  </si>
  <si>
    <t>RFIN-1082</t>
  </si>
  <si>
    <t>RFIN-1083</t>
  </si>
  <si>
    <t>RFIN-1084</t>
  </si>
  <si>
    <t>RFIN-1085</t>
  </si>
  <si>
    <t>RFIN-1086</t>
  </si>
  <si>
    <t>RFIN-1087</t>
  </si>
  <si>
    <t>RFIN-1088</t>
  </si>
  <si>
    <t>RFIN-1089</t>
  </si>
  <si>
    <t>RFIN-1090</t>
  </si>
  <si>
    <t>RFIN-1091</t>
  </si>
  <si>
    <t>RFIN-1092</t>
  </si>
  <si>
    <t>RFIN-1093</t>
  </si>
  <si>
    <t>RFIN-1094</t>
  </si>
  <si>
    <t>RFIN-1095</t>
  </si>
  <si>
    <t>RFIN-1096</t>
  </si>
  <si>
    <t>RFIN-1097</t>
  </si>
  <si>
    <t>RFIN-1098</t>
  </si>
  <si>
    <t>RFIN-1099</t>
  </si>
  <si>
    <t>RFIN-1100</t>
  </si>
  <si>
    <t>RFIN-1101</t>
  </si>
  <si>
    <t>RFIN-1102</t>
  </si>
  <si>
    <t>RFIN-1103</t>
  </si>
  <si>
    <t>RFIN-1104</t>
  </si>
  <si>
    <t>RFIN-1105</t>
  </si>
  <si>
    <t>RFIN-1106</t>
  </si>
  <si>
    <t>RFIN-1107</t>
  </si>
  <si>
    <t>RFIN-1108</t>
  </si>
  <si>
    <t>RFIN-1109</t>
  </si>
  <si>
    <t>RFIN-1110</t>
  </si>
  <si>
    <t>RFIN-1111</t>
  </si>
  <si>
    <t>RFIN-1112</t>
  </si>
  <si>
    <t>RFIN-1113</t>
  </si>
  <si>
    <t>RFIN-1114</t>
  </si>
  <si>
    <t>RFIN-1115</t>
  </si>
  <si>
    <t>RFIN-1116</t>
  </si>
  <si>
    <t>RFIN-1117</t>
  </si>
  <si>
    <t>RFIN-1118</t>
  </si>
  <si>
    <t>RFIN-1119</t>
  </si>
  <si>
    <t>RFIN-1120</t>
  </si>
  <si>
    <t>RFIN-1121</t>
  </si>
  <si>
    <t>RFIN-1122</t>
  </si>
  <si>
    <t>RFIN-1123</t>
  </si>
  <si>
    <t>RFIN-1124</t>
  </si>
  <si>
    <t>RFIN-1125</t>
  </si>
  <si>
    <t>RFIN-1126</t>
  </si>
  <si>
    <t>RFIN-1127</t>
  </si>
  <si>
    <t>RFIN-1128</t>
  </si>
  <si>
    <t>RFIN-1129</t>
  </si>
  <si>
    <t>RFIN-1130</t>
  </si>
  <si>
    <t>RFIN-1131</t>
  </si>
  <si>
    <t>RFIN-1132</t>
  </si>
  <si>
    <t>RFIN-1133</t>
  </si>
  <si>
    <t>RFIN-1134</t>
  </si>
  <si>
    <t>RFIN-1135</t>
  </si>
  <si>
    <t>RFIN-1136</t>
  </si>
  <si>
    <t>RFIN-1137</t>
  </si>
  <si>
    <t>RFIN-1138</t>
  </si>
  <si>
    <t>RFIN-1139</t>
  </si>
  <si>
    <t>RFIN-1140</t>
  </si>
  <si>
    <t>RFIN-1141</t>
  </si>
  <si>
    <t>RFIN-1142</t>
  </si>
  <si>
    <t>RFIN-1143</t>
  </si>
  <si>
    <t>RFIN-1144</t>
  </si>
  <si>
    <t>RFIN-1145</t>
  </si>
  <si>
    <t>RFIN-1146</t>
  </si>
  <si>
    <t>RFIN-1147</t>
  </si>
  <si>
    <t>RFIN-1148</t>
  </si>
  <si>
    <t>RFIN-1149</t>
  </si>
  <si>
    <t>RFIN-1150</t>
  </si>
  <si>
    <t>RFIN-1151</t>
  </si>
  <si>
    <t>RFIN-1152</t>
  </si>
  <si>
    <t>RFIN-1153</t>
  </si>
  <si>
    <t>RFIN-1154</t>
  </si>
  <si>
    <t>RFIN-1155</t>
  </si>
  <si>
    <t>RFIN-1156</t>
  </si>
  <si>
    <t>RFIN-1157</t>
  </si>
  <si>
    <t>RFIN-1158</t>
  </si>
  <si>
    <t>RFIN-1159</t>
  </si>
  <si>
    <t>RFIN-1160</t>
  </si>
  <si>
    <t>RFIN-1161</t>
  </si>
  <si>
    <t>RFIN-1162</t>
  </si>
  <si>
    <t>RFIN-1163</t>
  </si>
  <si>
    <t>RFIN-1164</t>
  </si>
  <si>
    <t>RFIN-1165</t>
  </si>
  <si>
    <t>RFIN-1166</t>
  </si>
  <si>
    <t>RFIN-1167</t>
  </si>
  <si>
    <t>RFIN-1168</t>
  </si>
  <si>
    <t>RFIN-1169</t>
  </si>
  <si>
    <t>RFIN-1170</t>
  </si>
  <si>
    <t>RFIN-1171</t>
  </si>
  <si>
    <t>RFIN-1172</t>
  </si>
  <si>
    <t>RFIN-1173</t>
  </si>
  <si>
    <t>RFIN-1174</t>
  </si>
  <si>
    <t>RFIN-1175</t>
  </si>
  <si>
    <t>RFIN-1176</t>
  </si>
  <si>
    <t>RFIN-1177</t>
  </si>
  <si>
    <t>RFIN-1178</t>
  </si>
  <si>
    <t>RFIN-1179</t>
  </si>
  <si>
    <t>RFIN-1180</t>
  </si>
  <si>
    <t>RFIN-1181</t>
  </si>
  <si>
    <t>RFIN-1182</t>
  </si>
  <si>
    <t>RFIN-1183</t>
  </si>
  <si>
    <t>RFIN-1184</t>
  </si>
  <si>
    <t>RFIN-1185</t>
  </si>
  <si>
    <t>RFIN-1186</t>
  </si>
  <si>
    <t>RFIN-1187</t>
  </si>
  <si>
    <t>RFIN-1188</t>
  </si>
  <si>
    <t>RFIN-1189</t>
  </si>
  <si>
    <t>RFIN-1190</t>
  </si>
  <si>
    <t>RFIN-1191</t>
  </si>
  <si>
    <t>RFIN-1192</t>
  </si>
  <si>
    <t>RFIN-1193</t>
  </si>
  <si>
    <t>RFIN-1194</t>
  </si>
  <si>
    <t>RFIN-1195</t>
  </si>
  <si>
    <t>RFIN-1196</t>
  </si>
  <si>
    <t>RFIN-1197</t>
  </si>
  <si>
    <t>RFIN-1198</t>
  </si>
  <si>
    <t>RFIN-1199</t>
  </si>
  <si>
    <t>Total Sales</t>
  </si>
  <si>
    <t>Total Order_ID</t>
  </si>
  <si>
    <t>Total Qty</t>
  </si>
  <si>
    <t>Average Order Value</t>
  </si>
  <si>
    <t>Average Unit Price</t>
  </si>
  <si>
    <t>SALES OF PARTICULAR PRODUCT</t>
  </si>
  <si>
    <t>PRODUCT</t>
  </si>
  <si>
    <t>TOTAL SALES</t>
  </si>
  <si>
    <t>IN %</t>
  </si>
  <si>
    <t>REGION</t>
  </si>
  <si>
    <t xml:space="preserve">Total Orders According To Payment </t>
  </si>
  <si>
    <t>Row Labels</t>
  </si>
  <si>
    <t>Grand Total</t>
  </si>
  <si>
    <t>Jan</t>
  </si>
  <si>
    <t>Feb</t>
  </si>
  <si>
    <t>Mar</t>
  </si>
  <si>
    <t>Sum of TotalSales</t>
  </si>
  <si>
    <t>2023</t>
  </si>
  <si>
    <t>RELIANCE FINANCE</t>
  </si>
  <si>
    <r>
      <t>SALES PERFORMANCE DASHBOARD</t>
    </r>
    <r>
      <rPr>
        <sz val="20"/>
        <color theme="1"/>
        <rFont val="Aptos Narrow"/>
        <family val="2"/>
        <scheme val="minor"/>
      </rPr>
      <t>.</t>
    </r>
  </si>
  <si>
    <t>Monthly Sales</t>
  </si>
  <si>
    <t>Product Sales</t>
  </si>
  <si>
    <t>Regional Sales</t>
  </si>
  <si>
    <t>Branch Performance</t>
  </si>
  <si>
    <t>Sales Status</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</si>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</sst>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sz val="24"/>
      <color theme="0"/>
      <name val="Aptos Narrow"/>
      <family val="2"/>
      <scheme val="minor"/>
    </font>
    <font>
      <sz val="20"/>
      <color theme="0"/>
      <name val="Aptos Narrow"/>
      <family val="2"/>
      <scheme val="minor"/>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3" tint="9.9978637043366805E-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14" fontId="0" fillId="0" borderId="0" xfId="0" applyNumberFormat="1"/>
    <xf numFmtId="0" fontId="0" fillId="34" borderId="10" xfId="0" applyFill="1" applyBorder="1"/>
    <xf numFmtId="0" fontId="16" fillId="35" borderId="0" xfId="0" applyFont="1" applyFill="1"/>
    <xf numFmtId="0" fontId="16" fillId="33" borderId="10" xfId="0" applyFont="1" applyFill="1" applyBorder="1"/>
    <xf numFmtId="0" fontId="0" fillId="0" borderId="13" xfId="0" applyBorder="1"/>
    <xf numFmtId="0" fontId="0" fillId="0" borderId="15" xfId="0" applyBorder="1"/>
    <xf numFmtId="0" fontId="0" fillId="0" borderId="17" xfId="0" applyBorder="1"/>
    <xf numFmtId="0" fontId="0" fillId="0" borderId="18" xfId="0" applyBorder="1"/>
    <xf numFmtId="0" fontId="16" fillId="33" borderId="16" xfId="0" applyFont="1" applyFill="1" applyBorder="1"/>
    <xf numFmtId="9" fontId="0" fillId="0" borderId="19" xfId="42" applyFont="1" applyBorder="1"/>
    <xf numFmtId="9" fontId="0" fillId="0" borderId="17" xfId="42" applyFont="1" applyBorder="1"/>
    <xf numFmtId="9" fontId="0" fillId="0" borderId="18" xfId="42" applyFont="1" applyBorder="1"/>
    <xf numFmtId="9" fontId="0" fillId="0" borderId="12" xfId="42" applyFont="1" applyBorder="1"/>
    <xf numFmtId="9" fontId="0" fillId="0" borderId="13" xfId="42" applyFont="1" applyBorder="1"/>
    <xf numFmtId="9" fontId="0" fillId="0" borderId="15" xfId="42" applyFont="1" applyBorder="1"/>
    <xf numFmtId="0" fontId="0" fillId="0" borderId="19" xfId="0"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23" xfId="0" applyBorder="1"/>
    <xf numFmtId="0" fontId="0" fillId="0" borderId="14" xfId="0" applyBorder="1"/>
    <xf numFmtId="0" fontId="0" fillId="0" borderId="21" xfId="0" applyBorder="1"/>
    <xf numFmtId="0" fontId="16" fillId="0" borderId="0" xfId="0" applyFont="1" applyAlignment="1">
      <alignment horizontal="left" indent="1"/>
    </xf>
    <xf numFmtId="0" fontId="16" fillId="0" borderId="0" xfId="0" applyFont="1" applyAlignment="1">
      <alignment horizontal="left"/>
    </xf>
    <xf numFmtId="0" fontId="16" fillId="33" borderId="19" xfId="0" applyFont="1" applyFill="1" applyBorder="1"/>
    <xf numFmtId="0" fontId="19" fillId="36" borderId="11" xfId="0" applyFont="1" applyFill="1" applyBorder="1" applyAlignment="1">
      <alignment horizontal="left" vertical="center"/>
    </xf>
    <xf numFmtId="0" fontId="19" fillId="36" borderId="20" xfId="0" applyFont="1" applyFill="1" applyBorder="1" applyAlignment="1">
      <alignment horizontal="left" vertical="center"/>
    </xf>
    <xf numFmtId="0" fontId="19" fillId="36" borderId="12" xfId="0" applyFont="1" applyFill="1" applyBorder="1" applyAlignment="1">
      <alignment horizontal="left" vertical="center"/>
    </xf>
    <xf numFmtId="0" fontId="20" fillId="36" borderId="23" xfId="0" applyFont="1" applyFill="1" applyBorder="1" applyAlignment="1">
      <alignment horizontal="left" vertical="center"/>
    </xf>
    <xf numFmtId="0" fontId="20" fillId="36" borderId="0" xfId="0" applyFont="1" applyFill="1" applyAlignment="1">
      <alignment horizontal="left" vertical="center"/>
    </xf>
    <xf numFmtId="0" fontId="20" fillId="36" borderId="13" xfId="0" applyFont="1" applyFill="1" applyBorder="1" applyAlignment="1">
      <alignment horizontal="left" vertical="center"/>
    </xf>
    <xf numFmtId="0" fontId="16" fillId="35" borderId="11" xfId="0" applyFont="1" applyFill="1" applyBorder="1" applyAlignment="1">
      <alignment horizontal="center" vertical="center"/>
    </xf>
    <xf numFmtId="0" fontId="16" fillId="35" borderId="20" xfId="0" applyFont="1" applyFill="1" applyBorder="1" applyAlignment="1">
      <alignment horizontal="center" vertical="center"/>
    </xf>
    <xf numFmtId="0" fontId="16" fillId="35" borderId="12" xfId="0" applyFont="1" applyFill="1" applyBorder="1" applyAlignment="1">
      <alignment horizontal="center" vertical="center"/>
    </xf>
    <xf numFmtId="0" fontId="16" fillId="35" borderId="14" xfId="0" applyFont="1" applyFill="1" applyBorder="1" applyAlignment="1">
      <alignment horizontal="center" vertical="center"/>
    </xf>
    <xf numFmtId="0" fontId="16" fillId="35" borderId="21" xfId="0" applyFont="1" applyFill="1" applyBorder="1" applyAlignment="1">
      <alignment horizontal="center" vertical="center"/>
    </xf>
    <xf numFmtId="0" fontId="16" fillId="35" borderId="15" xfId="0" applyFont="1" applyFill="1" applyBorder="1" applyAlignment="1">
      <alignment horizontal="center" vertical="center"/>
    </xf>
    <xf numFmtId="0" fontId="16" fillId="35" borderId="22" xfId="0" applyFont="1" applyFill="1" applyBorder="1" applyAlignment="1">
      <alignment horizontal="center" wrapText="1"/>
    </xf>
    <xf numFmtId="0" fontId="16" fillId="35" borderId="16" xfId="0" applyFont="1" applyFill="1" applyBorder="1" applyAlignment="1">
      <alignment horizontal="center" wrapText="1"/>
    </xf>
    <xf numFmtId="0" fontId="21" fillId="35"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[Reliance_Finance_Sales_Dataset.PDF-selected-columns.xlsx]Pivot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Table'!$A$5:$A$13</c:f>
              <c:multiLvlStrCache>
                <c:ptCount val="7"/>
                <c:lvl>
                  <c:pt idx="0">
                    <c:v>Jan</c:v>
                  </c:pt>
                  <c:pt idx="1">
                    <c:v>Feb</c:v>
                  </c:pt>
                  <c:pt idx="2">
                    <c:v>Mar</c:v>
                  </c:pt>
                  <c:pt idx="3">
                    <c:v>Apr</c:v>
                  </c:pt>
                  <c:pt idx="4">
                    <c:v>May</c:v>
                  </c:pt>
                  <c:pt idx="5">
                    <c:v>Jun</c:v>
                  </c:pt>
                  <c:pt idx="6">
                    <c:v>Jul</c:v>
                  </c:pt>
                </c:lvl>
                <c:lvl>
                  <c:pt idx="0">
                    <c:v>2023</c:v>
                  </c:pt>
                </c:lvl>
              </c:multiLvlStrCache>
            </c:multiLvlStrRef>
          </c:cat>
          <c:val>
            <c:numRef>
              <c:f>'Pivot Table'!$B$5:$B$13</c:f>
              <c:numCache>
                <c:formatCode>General</c:formatCode>
                <c:ptCount val="7"/>
                <c:pt idx="0">
                  <c:v>490492</c:v>
                </c:pt>
                <c:pt idx="1">
                  <c:v>407528</c:v>
                </c:pt>
                <c:pt idx="2">
                  <c:v>428233</c:v>
                </c:pt>
                <c:pt idx="3">
                  <c:v>440961</c:v>
                </c:pt>
                <c:pt idx="4">
                  <c:v>440356</c:v>
                </c:pt>
                <c:pt idx="5">
                  <c:v>359467</c:v>
                </c:pt>
                <c:pt idx="6">
                  <c:v>252066</c:v>
                </c:pt>
              </c:numCache>
            </c:numRef>
          </c:val>
          <c:smooth val="0"/>
          <c:extLst>
            <c:ext xmlns:c16="http://schemas.microsoft.com/office/drawing/2014/chart" uri="{C3380CC4-5D6E-409C-BE32-E72D297353CC}">
              <c16:uniqueId val="{00000000-60C0-445B-BB05-41564A041111}"/>
            </c:ext>
          </c:extLst>
        </c:ser>
        <c:dLbls>
          <c:dLblPos val="ctr"/>
          <c:showLegendKey val="0"/>
          <c:showVal val="1"/>
          <c:showCatName val="0"/>
          <c:showSerName val="0"/>
          <c:showPercent val="0"/>
          <c:showBubbleSize val="0"/>
        </c:dLbls>
        <c:marker val="1"/>
        <c:smooth val="0"/>
        <c:axId val="1526753088"/>
        <c:axId val="399390320"/>
      </c:lineChart>
      <c:catAx>
        <c:axId val="152675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90320"/>
        <c:crosses val="autoZero"/>
        <c:auto val="1"/>
        <c:lblAlgn val="ctr"/>
        <c:lblOffset val="100"/>
        <c:noMultiLvlLbl val="0"/>
      </c:catAx>
      <c:valAx>
        <c:axId val="3993903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7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[Reliance_Finance_Sales_Dataset.PDF-selected-columns.xlsx]Pivot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barChart>
        <c:barDir val="col"/>
        <c:grouping val="clustered"/>
        <c:varyColors val="0"/>
        <c:ser>
          <c:idx val="0"/>
          <c:order val="0"/>
          <c:tx>
            <c:strRef>
              <c:f>'Pivot Table'!$E$4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79D-43F5-AFDC-AA93D669C98A}"/>
              </c:ext>
            </c:extLst>
          </c:dPt>
          <c:dPt>
            <c:idx val="1"/>
            <c:invertIfNegative val="0"/>
            <c:bubble3D val="0"/>
            <c:extLst>
              <c:ext xmlns:c16="http://schemas.microsoft.com/office/drawing/2014/chart" uri="{C3380CC4-5D6E-409C-BE32-E72D297353CC}">
                <c16:uniqueId val="{00000003-C79D-43F5-AFDC-AA93D669C98A}"/>
              </c:ext>
            </c:extLst>
          </c:dPt>
          <c:dPt>
            <c:idx val="2"/>
            <c:invertIfNegative val="0"/>
            <c:bubble3D val="0"/>
            <c:extLst>
              <c:ext xmlns:c16="http://schemas.microsoft.com/office/drawing/2014/chart" uri="{C3380CC4-5D6E-409C-BE32-E72D297353CC}">
                <c16:uniqueId val="{00000005-C79D-43F5-AFDC-AA93D669C98A}"/>
              </c:ext>
            </c:extLst>
          </c:dPt>
          <c:dPt>
            <c:idx val="3"/>
            <c:invertIfNegative val="0"/>
            <c:bubble3D val="0"/>
            <c:extLst>
              <c:ext xmlns:c16="http://schemas.microsoft.com/office/drawing/2014/chart" uri="{C3380CC4-5D6E-409C-BE32-E72D297353CC}">
                <c16:uniqueId val="{00000007-C79D-43F5-AFDC-AA93D669C98A}"/>
              </c:ext>
            </c:extLst>
          </c:dPt>
          <c:dPt>
            <c:idx val="4"/>
            <c:invertIfNegative val="0"/>
            <c:bubble3D val="0"/>
            <c:extLst>
              <c:ext xmlns:c16="http://schemas.microsoft.com/office/drawing/2014/chart" uri="{C3380CC4-5D6E-409C-BE32-E72D297353CC}">
                <c16:uniqueId val="{00000009-C79D-43F5-AFDC-AA93D669C9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Debt Fund</c:v>
                </c:pt>
                <c:pt idx="1">
                  <c:v>Equity</c:v>
                </c:pt>
                <c:pt idx="2">
                  <c:v>Insurance</c:v>
                </c:pt>
                <c:pt idx="3">
                  <c:v>Mutual Fund</c:v>
                </c:pt>
                <c:pt idx="4">
                  <c:v>Pension Plan</c:v>
                </c:pt>
              </c:strCache>
            </c:strRef>
          </c:cat>
          <c:val>
            <c:numRef>
              <c:f>'Pivot Table'!$E$5:$E$10</c:f>
              <c:numCache>
                <c:formatCode>General</c:formatCode>
                <c:ptCount val="5"/>
                <c:pt idx="0">
                  <c:v>511222</c:v>
                </c:pt>
                <c:pt idx="1">
                  <c:v>649959</c:v>
                </c:pt>
                <c:pt idx="2">
                  <c:v>440358</c:v>
                </c:pt>
                <c:pt idx="3">
                  <c:v>631823</c:v>
                </c:pt>
                <c:pt idx="4">
                  <c:v>585741</c:v>
                </c:pt>
              </c:numCache>
            </c:numRef>
          </c:val>
          <c:extLst>
            <c:ext xmlns:c16="http://schemas.microsoft.com/office/drawing/2014/chart" uri="{C3380CC4-5D6E-409C-BE32-E72D297353CC}">
              <c16:uniqueId val="{0000000A-C79D-43F5-AFDC-AA93D669C98A}"/>
            </c:ext>
          </c:extLst>
        </c:ser>
        <c:dLbls>
          <c:dLblPos val="inEnd"/>
          <c:showLegendKey val="0"/>
          <c:showVal val="1"/>
          <c:showCatName val="0"/>
          <c:showSerName val="0"/>
          <c:showPercent val="0"/>
          <c:showBubbleSize val="0"/>
        </c:dLbls>
        <c:gapWidth val="219"/>
        <c:overlap val="-27"/>
        <c:axId val="1531089056"/>
        <c:axId val="334316687"/>
      </c:barChart>
      <c:catAx>
        <c:axId val="153108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34316687"/>
        <c:crosses val="autoZero"/>
        <c:auto val="1"/>
        <c:lblAlgn val="ctr"/>
        <c:lblOffset val="100"/>
        <c:noMultiLvlLbl val="0"/>
      </c:catAx>
      <c:valAx>
        <c:axId val="3343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8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[Reliance_Finance_Sales_Dataset.PDF-selected-columns.xlsx]Pivot Table!PivotTable6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Table'!$H$4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Table'!$G$5:$G$10</c:f>
              <c:strCache>
                <c:ptCount val="5"/>
                <c:pt idx="0">
                  <c:v>Bangalore</c:v>
                </c:pt>
                <c:pt idx="1">
                  <c:v>Chennai</c:v>
                </c:pt>
                <c:pt idx="2">
                  <c:v>Delhi</c:v>
                </c:pt>
                <c:pt idx="3">
                  <c:v>Kolkata</c:v>
                </c:pt>
                <c:pt idx="4">
                  <c:v>Mumbai</c:v>
                </c:pt>
              </c:strCache>
            </c:strRef>
          </c:cat>
          <c:val>
            <c:numRef>
              <c:f>'Pivot Table'!$H$5:$H$10</c:f>
              <c:numCache>
                <c:formatCode>General</c:formatCode>
                <c:ptCount val="5"/>
                <c:pt idx="0">
                  <c:v>511209</c:v>
                </c:pt>
                <c:pt idx="1">
                  <c:v>578695</c:v>
                </c:pt>
                <c:pt idx="2">
                  <c:v>609450</c:v>
                </c:pt>
                <c:pt idx="3">
                  <c:v>579676</c:v>
                </c:pt>
                <c:pt idx="4">
                  <c:v>540073</c:v>
                </c:pt>
              </c:numCache>
            </c:numRef>
          </c:val>
          <c:extLst>
            <c:ext xmlns:c16="http://schemas.microsoft.com/office/drawing/2014/chart" uri="{C3380CC4-5D6E-409C-BE32-E72D297353CC}">
              <c16:uniqueId val="{00000000-6D09-45E0-8848-2B2207855975}"/>
            </c:ext>
          </c:extLst>
        </c:ser>
        <c:dLbls>
          <c:showLegendKey val="0"/>
          <c:showVal val="1"/>
          <c:showCatName val="0"/>
          <c:showSerName val="0"/>
          <c:showPercent val="0"/>
          <c:showBubbleSize val="0"/>
        </c:dLbls>
        <c:gapWidth val="79"/>
        <c:shape val="box"/>
        <c:axId val="1526739168"/>
        <c:axId val="1125264400"/>
        <c:axId val="0"/>
      </c:bar3DChart>
      <c:catAx>
        <c:axId val="152673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125264400"/>
        <c:crosses val="autoZero"/>
        <c:auto val="1"/>
        <c:lblAlgn val="ctr"/>
        <c:lblOffset val="100"/>
        <c:noMultiLvlLbl val="0"/>
      </c:catAx>
      <c:valAx>
        <c:axId val="1125264400"/>
        <c:scaling>
          <c:orientation val="minMax"/>
        </c:scaling>
        <c:delete val="1"/>
        <c:axPos val="b"/>
        <c:numFmt formatCode="General" sourceLinked="1"/>
        <c:majorTickMark val="none"/>
        <c:minorTickMark val="none"/>
        <c:tickLblPos val="nextTo"/>
        <c:crossAx val="15267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[Reliance_Finance_Sales_Dataset.PDF-selected-columns.xlsx]Pivot Table!PivotTable7</c:name>
    <c:fmtId val="5"/>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pivotFmt>
      <c:pivotFmt>
        <c:idx val="21"/>
        <c:spPr>
          <a:solidFill>
            <a:schemeClr val="accent2"/>
          </a:solidFill>
          <a:ln>
            <a:noFill/>
          </a:ln>
          <a:effectLst>
            <a:outerShdw blurRad="63500" sx="102000" sy="102000" algn="ctr" rotWithShape="0">
              <a:prstClr val="black">
                <a:alpha val="20000"/>
              </a:prstClr>
            </a:outerShdw>
          </a:effectLst>
        </c:spPr>
      </c:pivotFmt>
      <c:pivotFmt>
        <c:idx val="22"/>
        <c:spPr>
          <a:solidFill>
            <a:schemeClr val="accent3"/>
          </a:solidFill>
          <a:ln>
            <a:noFill/>
          </a:ln>
          <a:effectLst>
            <a:outerShdw blurRad="63500" sx="102000" sy="102000" algn="ctr" rotWithShape="0">
              <a:prstClr val="black">
                <a:alpha val="20000"/>
              </a:prstClr>
            </a:outerShdw>
          </a:effectLst>
        </c:spPr>
      </c:pivotFmt>
      <c:pivotFmt>
        <c:idx val="23"/>
        <c:spPr>
          <a:solidFill>
            <a:schemeClr val="accent4"/>
          </a:solidFill>
          <a:ln>
            <a:noFill/>
          </a:ln>
          <a:effectLst>
            <a:outerShdw blurRad="63500" sx="102000" sy="102000" algn="ctr" rotWithShape="0">
              <a:prstClr val="black">
                <a:alpha val="20000"/>
              </a:prstClr>
            </a:outerShdw>
          </a:effectLst>
        </c:spPr>
      </c:pivotFmt>
      <c:pivotFmt>
        <c:idx val="24"/>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Table'!$K$4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645-4C64-B8FF-2BC0EC7D104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645-4C64-B8FF-2BC0EC7D104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645-4C64-B8FF-2BC0EC7D104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645-4C64-B8FF-2BC0EC7D104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645-4C64-B8FF-2BC0EC7D104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Table'!$J$5:$J$10</c:f>
              <c:strCache>
                <c:ptCount val="5"/>
                <c:pt idx="0">
                  <c:v>Branch-1</c:v>
                </c:pt>
                <c:pt idx="1">
                  <c:v>Branch-2</c:v>
                </c:pt>
                <c:pt idx="2">
                  <c:v>Branch-3</c:v>
                </c:pt>
                <c:pt idx="3">
                  <c:v>Branch-4</c:v>
                </c:pt>
                <c:pt idx="4">
                  <c:v>Branch-5</c:v>
                </c:pt>
              </c:strCache>
            </c:strRef>
          </c:cat>
          <c:val>
            <c:numRef>
              <c:f>'Pivot Table'!$K$5:$K$10</c:f>
              <c:numCache>
                <c:formatCode>0.00%</c:formatCode>
                <c:ptCount val="5"/>
                <c:pt idx="0">
                  <c:v>0.25866383739792409</c:v>
                </c:pt>
                <c:pt idx="1">
                  <c:v>0.19203590645677013</c:v>
                </c:pt>
                <c:pt idx="2">
                  <c:v>0.19430542268232129</c:v>
                </c:pt>
                <c:pt idx="3">
                  <c:v>0.17944360316029603</c:v>
                </c:pt>
                <c:pt idx="4">
                  <c:v>0.17555123030268849</c:v>
                </c:pt>
              </c:numCache>
            </c:numRef>
          </c:val>
          <c:extLst>
            <c:ext xmlns:c16="http://schemas.microsoft.com/office/drawing/2014/chart" uri="{C3380CC4-5D6E-409C-BE32-E72D297353CC}">
              <c16:uniqueId val="{0000000A-7645-4C64-B8FF-2BC0EC7D104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28224</xdr:colOff>
      <xdr:row>4</xdr:row>
      <xdr:rowOff>59267</xdr:rowOff>
    </xdr:from>
    <xdr:to>
      <xdr:col>7</xdr:col>
      <xdr:colOff>190500</xdr:colOff>
      <xdr:row>11</xdr:row>
      <xdr:rowOff>87401</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DF4E3A63-0557-41A0-9E1E-CC2A3E3F3ABF}"/>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609598" y="1159934"/>
              <a:ext cx="4267201" cy="133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291352</xdr:colOff>
      <xdr:row>4</xdr:row>
      <xdr:rowOff>86265</xdr:rowOff>
    </xdr:from>
    <xdr:to>
      <xdr:col>11</xdr:col>
      <xdr:colOff>314201</xdr:colOff>
      <xdr:row>11</xdr:row>
      <xdr:rowOff>114399</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A84B38D9-020D-4447-80EB-216F3A5905E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003800" y="1186932"/>
              <a:ext cx="2016000" cy="13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431800</xdr:colOff>
      <xdr:row>4</xdr:row>
      <xdr:rowOff>79866</xdr:rowOff>
    </xdr:from>
    <xdr:to>
      <xdr:col>14</xdr:col>
      <xdr:colOff>547000</xdr:colOff>
      <xdr:row>11</xdr:row>
      <xdr:rowOff>108000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CFE692C-1648-47FA-BC2F-DBB98166FA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37400" y="1180533"/>
              <a:ext cx="1944000" cy="13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37630</xdr:colOff>
      <xdr:row>12</xdr:row>
      <xdr:rowOff>0</xdr:rowOff>
    </xdr:from>
    <xdr:to>
      <xdr:col>7</xdr:col>
      <xdr:colOff>343576</xdr:colOff>
      <xdr:row>17</xdr:row>
      <xdr:rowOff>148667</xdr:rowOff>
    </xdr:to>
    <mc:AlternateContent xmlns:mc="http://schemas.openxmlformats.org/markup-compatibility/2006" xmlns:a14="http://schemas.microsoft.com/office/drawing/2010/main">
      <mc:Choice Requires="a14">
        <xdr:graphicFrame macro="">
          <xdr:nvGraphicFramePr>
            <xdr:cNvPr id="5" name="Branch">
              <a:extLst>
                <a:ext uri="{FF2B5EF4-FFF2-40B4-BE49-F238E27FC236}">
                  <a16:creationId xmlns:a16="http://schemas.microsoft.com/office/drawing/2014/main" id="{EB394B6B-C51F-44FF-8F6B-C2A9323B7AD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50543" y="2551043"/>
              <a:ext cx="3983424" cy="1059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431800</xdr:colOff>
      <xdr:row>12</xdr:row>
      <xdr:rowOff>0</xdr:rowOff>
    </xdr:from>
    <xdr:to>
      <xdr:col>11</xdr:col>
      <xdr:colOff>441400</xdr:colOff>
      <xdr:row>17</xdr:row>
      <xdr:rowOff>148667</xdr:rowOff>
    </xdr:to>
    <mc:AlternateContent xmlns:mc="http://schemas.openxmlformats.org/markup-compatibility/2006" xmlns:a14="http://schemas.microsoft.com/office/drawing/2010/main">
      <mc:Choice Requires="a14">
        <xdr:graphicFrame macro="">
          <xdr:nvGraphicFramePr>
            <xdr:cNvPr id="6" name="PaymentMode">
              <a:extLst>
                <a:ext uri="{FF2B5EF4-FFF2-40B4-BE49-F238E27FC236}">
                  <a16:creationId xmlns:a16="http://schemas.microsoft.com/office/drawing/2014/main" id="{90193CBA-C2B6-4BBC-8F4E-34B8B44908BD}"/>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4699000" y="2590800"/>
              <a:ext cx="24480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547000</xdr:colOff>
      <xdr:row>11</xdr:row>
      <xdr:rowOff>184200</xdr:rowOff>
    </xdr:from>
    <xdr:to>
      <xdr:col>14</xdr:col>
      <xdr:colOff>547000</xdr:colOff>
      <xdr:row>17</xdr:row>
      <xdr:rowOff>146600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0F29239-C5F2-486F-9368-09926065EFD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52600" y="2588733"/>
              <a:ext cx="18288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71880</xdr:colOff>
      <xdr:row>17</xdr:row>
      <xdr:rowOff>177800</xdr:rowOff>
    </xdr:from>
    <xdr:to>
      <xdr:col>3</xdr:col>
      <xdr:colOff>516125</xdr:colOff>
      <xdr:row>20</xdr:row>
      <xdr:rowOff>157877</xdr:rowOff>
    </xdr:to>
    <xdr:sp macro="" textlink="">
      <xdr:nvSpPr>
        <xdr:cNvPr id="8" name="Rectangle: Rounded Corners 7">
          <a:extLst>
            <a:ext uri="{FF2B5EF4-FFF2-40B4-BE49-F238E27FC236}">
              <a16:creationId xmlns:a16="http://schemas.microsoft.com/office/drawing/2014/main" id="{EEAA265F-723F-2700-227E-AEB938C6D201}"/>
            </a:ext>
          </a:extLst>
        </xdr:cNvPr>
        <xdr:cNvSpPr/>
      </xdr:nvSpPr>
      <xdr:spPr>
        <a:xfrm>
          <a:off x="683361" y="3583281"/>
          <a:ext cx="1667208" cy="516300"/>
        </a:xfrm>
        <a:prstGeom prst="roundRect">
          <a:avLst/>
        </a:prstGeom>
        <a:scene3d>
          <a:camera prst="orthographicFront"/>
          <a:lightRig rig="threePt" dir="t"/>
        </a:scene3d>
        <a:sp3d>
          <a:bevel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200" b="0" cap="none" spc="0">
              <a:ln>
                <a:noFill/>
              </a:ln>
              <a:solidFill>
                <a:schemeClr val="bg1"/>
              </a:solidFill>
              <a:effectLst/>
              <a:latin typeface="+mn-lt"/>
            </a:rPr>
            <a:t>TOTAL SALES</a:t>
          </a:r>
        </a:p>
        <a:p>
          <a:pPr algn="ctr"/>
          <a:r>
            <a:rPr lang="en-IN" sz="1200" b="0" cap="none" spc="0">
              <a:ln>
                <a:noFill/>
              </a:ln>
              <a:solidFill>
                <a:schemeClr val="bg1"/>
              </a:solidFill>
              <a:effectLst/>
              <a:latin typeface="+mn-lt"/>
            </a:rPr>
            <a:t>₹28,19,103</a:t>
          </a:r>
        </a:p>
      </xdr:txBody>
    </xdr:sp>
    <xdr:clientData/>
  </xdr:twoCellAnchor>
  <xdr:twoCellAnchor>
    <xdr:from>
      <xdr:col>4</xdr:col>
      <xdr:colOff>385172</xdr:colOff>
      <xdr:row>17</xdr:row>
      <xdr:rowOff>177799</xdr:rowOff>
    </xdr:from>
    <xdr:to>
      <xdr:col>7</xdr:col>
      <xdr:colOff>155863</xdr:colOff>
      <xdr:row>20</xdr:row>
      <xdr:rowOff>157876</xdr:rowOff>
    </xdr:to>
    <xdr:sp macro="" textlink="">
      <xdr:nvSpPr>
        <xdr:cNvPr id="9" name="Rectangle: Rounded Corners 8">
          <a:extLst>
            <a:ext uri="{FF2B5EF4-FFF2-40B4-BE49-F238E27FC236}">
              <a16:creationId xmlns:a16="http://schemas.microsoft.com/office/drawing/2014/main" id="{C446F9D5-A3BA-5377-6B4E-1456C37812D2}"/>
            </a:ext>
          </a:extLst>
        </xdr:cNvPr>
        <xdr:cNvSpPr/>
      </xdr:nvSpPr>
      <xdr:spPr>
        <a:xfrm>
          <a:off x="2809717" y="3632776"/>
          <a:ext cx="1589101" cy="525600"/>
        </a:xfrm>
        <a:prstGeom prst="roundRect">
          <a:avLst/>
        </a:prstGeom>
        <a:scene3d>
          <a:camera prst="orthographicFront"/>
          <a:lightRig rig="threePt" dir="t"/>
        </a:scene3d>
        <a:sp3d>
          <a:bevel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200"/>
            <a:t>TOTAL ORDERS</a:t>
          </a:r>
        </a:p>
        <a:p>
          <a:pPr algn="ctr"/>
          <a:r>
            <a:rPr lang="en-IN" sz="1200"/>
            <a:t>200</a:t>
          </a:r>
        </a:p>
      </xdr:txBody>
    </xdr:sp>
    <xdr:clientData/>
  </xdr:twoCellAnchor>
  <xdr:twoCellAnchor>
    <xdr:from>
      <xdr:col>7</xdr:col>
      <xdr:colOff>588818</xdr:colOff>
      <xdr:row>17</xdr:row>
      <xdr:rowOff>177799</xdr:rowOff>
    </xdr:from>
    <xdr:to>
      <xdr:col>10</xdr:col>
      <xdr:colOff>571500</xdr:colOff>
      <xdr:row>20</xdr:row>
      <xdr:rowOff>157876</xdr:rowOff>
    </xdr:to>
    <xdr:sp macro="" textlink="">
      <xdr:nvSpPr>
        <xdr:cNvPr id="10" name="Rectangle: Rounded Corners 9">
          <a:extLst>
            <a:ext uri="{FF2B5EF4-FFF2-40B4-BE49-F238E27FC236}">
              <a16:creationId xmlns:a16="http://schemas.microsoft.com/office/drawing/2014/main" id="{954CA8D5-E92E-01FA-4BDF-1764BC508428}"/>
            </a:ext>
          </a:extLst>
        </xdr:cNvPr>
        <xdr:cNvSpPr/>
      </xdr:nvSpPr>
      <xdr:spPr>
        <a:xfrm>
          <a:off x="4831773" y="3632776"/>
          <a:ext cx="1801091" cy="525600"/>
        </a:xfrm>
        <a:prstGeom prst="roundRect">
          <a:avLst/>
        </a:prstGeom>
        <a:scene3d>
          <a:camera prst="orthographicFront"/>
          <a:lightRig rig="threePt" dir="t"/>
        </a:scene3d>
        <a:sp3d>
          <a:bevel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200"/>
            <a:t>QUANTITY SOLD</a:t>
          </a:r>
        </a:p>
        <a:p>
          <a:pPr algn="ctr"/>
          <a:r>
            <a:rPr lang="en-IN" sz="1200"/>
            <a:t>516</a:t>
          </a:r>
        </a:p>
      </xdr:txBody>
    </xdr:sp>
    <xdr:clientData/>
  </xdr:twoCellAnchor>
  <xdr:twoCellAnchor>
    <xdr:from>
      <xdr:col>11</xdr:col>
      <xdr:colOff>536864</xdr:colOff>
      <xdr:row>17</xdr:row>
      <xdr:rowOff>168946</xdr:rowOff>
    </xdr:from>
    <xdr:to>
      <xdr:col>14</xdr:col>
      <xdr:colOff>533784</xdr:colOff>
      <xdr:row>20</xdr:row>
      <xdr:rowOff>150146</xdr:rowOff>
    </xdr:to>
    <xdr:sp macro="" textlink="">
      <xdr:nvSpPr>
        <xdr:cNvPr id="11" name="Rectangle: Rounded Corners 10">
          <a:extLst>
            <a:ext uri="{FF2B5EF4-FFF2-40B4-BE49-F238E27FC236}">
              <a16:creationId xmlns:a16="http://schemas.microsoft.com/office/drawing/2014/main" id="{B69E525F-8859-6107-8395-1D6648D20721}"/>
            </a:ext>
          </a:extLst>
        </xdr:cNvPr>
        <xdr:cNvSpPr/>
      </xdr:nvSpPr>
      <xdr:spPr>
        <a:xfrm>
          <a:off x="7204364" y="3623923"/>
          <a:ext cx="1815329" cy="526723"/>
        </a:xfrm>
        <a:prstGeom prst="roundRect">
          <a:avLst/>
        </a:prstGeom>
        <a:scene3d>
          <a:camera prst="orthographicFront"/>
          <a:lightRig rig="threePt" dir="t"/>
        </a:scene3d>
        <a:sp3d>
          <a:bevel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200">
              <a:solidFill>
                <a:schemeClr val="lt1"/>
              </a:solidFill>
              <a:latin typeface="+mn-lt"/>
              <a:ea typeface="+mn-ea"/>
              <a:cs typeface="+mn-cs"/>
            </a:rPr>
            <a:t>AVG. ORDER VALUE</a:t>
          </a:r>
        </a:p>
        <a:p>
          <a:pPr marL="0" indent="0" algn="ctr"/>
          <a:r>
            <a:rPr lang="en-IN" sz="1200">
              <a:solidFill>
                <a:schemeClr val="lt1"/>
              </a:solidFill>
              <a:latin typeface="+mn-lt"/>
              <a:ea typeface="+mn-ea"/>
              <a:cs typeface="+mn-cs"/>
            </a:rPr>
            <a:t>₹14,096</a:t>
          </a:r>
        </a:p>
      </xdr:txBody>
    </xdr:sp>
    <xdr:clientData/>
  </xdr:twoCellAnchor>
  <xdr:twoCellAnchor>
    <xdr:from>
      <xdr:col>1</xdr:col>
      <xdr:colOff>37630</xdr:colOff>
      <xdr:row>21</xdr:row>
      <xdr:rowOff>0</xdr:rowOff>
    </xdr:from>
    <xdr:to>
      <xdr:col>8</xdr:col>
      <xdr:colOff>304800</xdr:colOff>
      <xdr:row>33</xdr:row>
      <xdr:rowOff>124691</xdr:rowOff>
    </xdr:to>
    <xdr:graphicFrame macro="">
      <xdr:nvGraphicFramePr>
        <xdr:cNvPr id="12" name="Chart 11">
          <a:extLst>
            <a:ext uri="{FF2B5EF4-FFF2-40B4-BE49-F238E27FC236}">
              <a16:creationId xmlns:a16="http://schemas.microsoft.com/office/drawing/2014/main" id="{2F56E086-1E4F-49C9-B898-0C0602211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347133</xdr:colOff>
      <xdr:row>21</xdr:row>
      <xdr:rowOff>8467</xdr:rowOff>
    </xdr:from>
    <xdr:to>
      <xdr:col>14</xdr:col>
      <xdr:colOff>577533</xdr:colOff>
      <xdr:row>33</xdr:row>
      <xdr:rowOff>115158</xdr:rowOff>
    </xdr:to>
    <xdr:graphicFrame macro="">
      <xdr:nvGraphicFramePr>
        <xdr:cNvPr id="13" name="Chart 12">
          <a:extLst>
            <a:ext uri="{FF2B5EF4-FFF2-40B4-BE49-F238E27FC236}">
              <a16:creationId xmlns:a16="http://schemas.microsoft.com/office/drawing/2014/main" id="{51868D16-F81A-47CE-8F62-CF83BF79D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28224</xdr:colOff>
      <xdr:row>33</xdr:row>
      <xdr:rowOff>148897</xdr:rowOff>
    </xdr:from>
    <xdr:to>
      <xdr:col>8</xdr:col>
      <xdr:colOff>289035</xdr:colOff>
      <xdr:row>48</xdr:row>
      <xdr:rowOff>133132</xdr:rowOff>
    </xdr:to>
    <xdr:graphicFrame macro="">
      <xdr:nvGraphicFramePr>
        <xdr:cNvPr id="14" name="Chart 13">
          <a:extLst>
            <a:ext uri="{FF2B5EF4-FFF2-40B4-BE49-F238E27FC236}">
              <a16:creationId xmlns:a16="http://schemas.microsoft.com/office/drawing/2014/main" id="{B56545B5-8473-4A87-B905-F8BC91CCC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350344</xdr:colOff>
      <xdr:row>33</xdr:row>
      <xdr:rowOff>157655</xdr:rowOff>
    </xdr:from>
    <xdr:to>
      <xdr:col>14</xdr:col>
      <xdr:colOff>578069</xdr:colOff>
      <xdr:row>48</xdr:row>
      <xdr:rowOff>141890</xdr:rowOff>
    </xdr:to>
    <xdr:graphicFrame macro="">
      <xdr:nvGraphicFramePr>
        <xdr:cNvPr id="15" name="Chart 14">
          <a:extLst>
            <a:ext uri="{FF2B5EF4-FFF2-40B4-BE49-F238E27FC236}">
              <a16:creationId xmlns:a16="http://schemas.microsoft.com/office/drawing/2014/main" id="{E3E4064C-0390-46CB-89F1-55F8AAEA8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57977</xdr:colOff>
      <xdr:row>2</xdr:row>
      <xdr:rowOff>16566</xdr:rowOff>
    </xdr:from>
    <xdr:to>
      <xdr:col>21</xdr:col>
      <xdr:colOff>339586</xdr:colOff>
      <xdr:row>14</xdr:row>
      <xdr:rowOff>82827</xdr:rowOff>
    </xdr:to>
    <xdr:sp macro="" textlink="">
      <xdr:nvSpPr>
        <xdr:cNvPr id="17" name="Rectangle 16">
          <a:extLst>
            <a:ext uri="{FF2B5EF4-FFF2-40B4-BE49-F238E27FC236}">
              <a16:creationId xmlns:a16="http://schemas.microsoft.com/office/drawing/2014/main" id="{A6EE300A-55CB-5797-A479-B72AA9AEF496}"/>
            </a:ext>
          </a:extLst>
        </xdr:cNvPr>
        <xdr:cNvSpPr/>
      </xdr:nvSpPr>
      <xdr:spPr>
        <a:xfrm>
          <a:off x="9275719" y="385276"/>
          <a:ext cx="3968706" cy="2634938"/>
        </a:xfrm>
        <a:prstGeom prst="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Key</a:t>
          </a:r>
          <a:r>
            <a:rPr lang="en-IN" sz="1400" b="1" baseline="0">
              <a:solidFill>
                <a:schemeClr val="tx1"/>
              </a:solidFill>
            </a:rPr>
            <a:t> Insights-</a:t>
          </a:r>
        </a:p>
        <a:p>
          <a:pPr lvl="0"/>
          <a:r>
            <a:rPr lang="en-IN" sz="1400">
              <a:solidFill>
                <a:schemeClr val="tx1"/>
              </a:solidFill>
            </a:rPr>
            <a:t>1. Total Sales: ₹28.19 lakh from 200 orders between January and July 19, 2023.</a:t>
          </a:r>
        </a:p>
        <a:p>
          <a:pPr lvl="0"/>
          <a:r>
            <a:rPr lang="en-IN" sz="1400">
              <a:solidFill>
                <a:schemeClr val="tx1"/>
              </a:solidFill>
            </a:rPr>
            <a:t>2. Top Product: Equity generated the highest sales at ₹6.50 lakh (23.1%).</a:t>
          </a:r>
        </a:p>
        <a:p>
          <a:pPr lvl="0"/>
          <a:r>
            <a:rPr lang="en-IN" sz="1400">
              <a:solidFill>
                <a:schemeClr val="tx1"/>
              </a:solidFill>
            </a:rPr>
            <a:t>3. Top Region: Delhi led regional sales with ₹6.09 lakh (21.6%).</a:t>
          </a:r>
        </a:p>
        <a:p>
          <a:pPr lvl="0"/>
          <a:r>
            <a:rPr lang="en-IN" sz="1400">
              <a:solidFill>
                <a:schemeClr val="tx1"/>
              </a:solidFill>
            </a:rPr>
            <a:t>4. Top Branch: Branch-1 performed best with ₹7.29 lakh in sales (25.9%).</a:t>
          </a:r>
        </a:p>
        <a:p>
          <a:pPr lvl="0"/>
          <a:r>
            <a:rPr lang="en-IN" sz="1400">
              <a:solidFill>
                <a:schemeClr val="tx1"/>
              </a:solidFill>
            </a:rPr>
            <a:t>5. Sales Decline: Sales fell by 18.4% from May to June, indicating a need to investigate the decline.</a:t>
          </a:r>
        </a:p>
        <a:p>
          <a:pPr algn="l"/>
          <a:endParaRPr lang="en-IN" sz="1200">
            <a:solidFill>
              <a:schemeClr val="tx1"/>
            </a:solidFill>
          </a:endParaRPr>
        </a:p>
      </xdr:txBody>
    </xdr:sp>
    <xdr:clientData/>
  </xdr:twoCellAnchor>
  <xdr:twoCellAnchor>
    <xdr:from>
      <xdr:col>15</xdr:col>
      <xdr:colOff>57979</xdr:colOff>
      <xdr:row>14</xdr:row>
      <xdr:rowOff>132523</xdr:rowOff>
    </xdr:from>
    <xdr:to>
      <xdr:col>21</xdr:col>
      <xdr:colOff>356153</xdr:colOff>
      <xdr:row>30</xdr:row>
      <xdr:rowOff>16566</xdr:rowOff>
    </xdr:to>
    <xdr:sp macro="" textlink="">
      <xdr:nvSpPr>
        <xdr:cNvPr id="16" name="Rectangle 15">
          <a:extLst>
            <a:ext uri="{FF2B5EF4-FFF2-40B4-BE49-F238E27FC236}">
              <a16:creationId xmlns:a16="http://schemas.microsoft.com/office/drawing/2014/main" id="{376157EE-6F9D-6D8B-9377-1F405FFE7CDE}"/>
            </a:ext>
          </a:extLst>
        </xdr:cNvPr>
        <xdr:cNvSpPr/>
      </xdr:nvSpPr>
      <xdr:spPr>
        <a:xfrm>
          <a:off x="9251675" y="3048001"/>
          <a:ext cx="3975652" cy="2799522"/>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Recommendations</a:t>
          </a:r>
          <a:r>
            <a:rPr lang="en-IN" sz="1400" b="1" baseline="0">
              <a:solidFill>
                <a:schemeClr val="tx1"/>
              </a:solidFill>
            </a:rPr>
            <a:t> -</a:t>
          </a:r>
        </a:p>
        <a:p>
          <a:r>
            <a:rPr lang="en-IN" sz="1200" b="1">
              <a:solidFill>
                <a:schemeClr val="tx1"/>
              </a:solidFill>
            </a:rPr>
            <a:t>1.</a:t>
          </a:r>
          <a:r>
            <a:rPr lang="en-IN" sz="1200">
              <a:solidFill>
                <a:schemeClr val="tx1"/>
              </a:solidFill>
            </a:rPr>
            <a:t> </a:t>
          </a:r>
          <a:r>
            <a:rPr lang="en-IN" sz="1200" b="1">
              <a:solidFill>
                <a:schemeClr val="tx1"/>
              </a:solidFill>
            </a:rPr>
            <a:t>Improve Low-</a:t>
          </a:r>
          <a:r>
            <a:rPr lang="en-IN" sz="1200">
              <a:solidFill>
                <a:schemeClr val="tx1"/>
              </a:solidFill>
            </a:rPr>
            <a:t>Sales Products: Develop targeted promotions for Insurance and Debt Fund to increase sales.</a:t>
          </a:r>
        </a:p>
        <a:p>
          <a:r>
            <a:rPr lang="en-IN" sz="1200" b="1">
              <a:solidFill>
                <a:schemeClr val="tx1"/>
              </a:solidFill>
            </a:rPr>
            <a:t>2. Investigate Sales Decline:</a:t>
          </a:r>
          <a:r>
            <a:rPr lang="en-IN" sz="1200">
              <a:solidFill>
                <a:schemeClr val="tx1"/>
              </a:solidFill>
            </a:rPr>
            <a:t> Analyze the 18.4% drop in June sales and take steps to improve monthly performance.</a:t>
          </a:r>
        </a:p>
        <a:p>
          <a:r>
            <a:rPr lang="en-IN" sz="1200" b="1">
              <a:solidFill>
                <a:schemeClr val="tx1"/>
              </a:solidFill>
            </a:rPr>
            <a:t>3. Learn from Top Branches:</a:t>
          </a:r>
          <a:r>
            <a:rPr lang="en-IN" sz="1200">
              <a:solidFill>
                <a:schemeClr val="tx1"/>
              </a:solidFill>
            </a:rPr>
            <a:t> Identify successful strategies at Branch-1 and apply them to lower-performing branches.</a:t>
          </a:r>
        </a:p>
        <a:p>
          <a:r>
            <a:rPr lang="en-IN" sz="1200" b="1">
              <a:solidFill>
                <a:schemeClr val="tx1"/>
              </a:solidFill>
            </a:rPr>
            <a:t>4. Strengthen Digital Payments: </a:t>
          </a:r>
          <a:r>
            <a:rPr lang="en-IN" sz="1200">
              <a:solidFill>
                <a:schemeClr val="tx1"/>
              </a:solidFill>
            </a:rPr>
            <a:t>Promote UPI and credit card payments, which together account for 59.4% of sales.</a:t>
          </a:r>
        </a:p>
        <a:p>
          <a:r>
            <a:rPr lang="en-IN" sz="1200" b="1">
              <a:solidFill>
                <a:schemeClr val="tx1"/>
              </a:solidFill>
            </a:rPr>
            <a:t>5. Improve Regional Performance: </a:t>
          </a:r>
          <a:r>
            <a:rPr lang="en-IN" sz="1200">
              <a:solidFill>
                <a:schemeClr val="tx1"/>
              </a:solidFill>
            </a:rPr>
            <a:t>Study Delhi’s successful sales strategies and apply suitable approaches in lower-performing regions like Bangalore.</a:t>
          </a:r>
        </a:p>
        <a:p>
          <a:pPr algn="l"/>
          <a:endParaRPr lang="en-IN" sz="1100">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mira" refreshedDate="46305.622029629631" createdVersion="8" refreshedVersion="8" minRefreshableVersion="3" recordCount="200" xr:uid="{82B524DF-2FE4-4DFE-8763-BCBC40A3E59E}">
  <cacheSource type="worksheet">
    <worksheetSource name="Table1"/>
  </cacheSource>
  <cacheFields count="15">
    <cacheField name="OrderID" numFmtId="0">
      <sharedItems/>
    </cacheField>
    <cacheField name="OrderDate" numFmtId="14">
      <sharedItems containsSemiMixedTypes="0" containsNonDate="0" containsDate="1" containsString="0" minDate="2023-01-01T00:00:00" maxDate="2023-07-20T00:00:00" count="2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sharedItems>
      <fieldGroup par="14"/>
    </cacheField>
    <cacheField name="ProductName" numFmtId="0">
      <sharedItems count="5">
        <s v="Mutual Fund"/>
        <s v="Debt Fund"/>
        <s v="Equity"/>
        <s v="Pension Plan"/>
        <s v="Insurance"/>
      </sharedItems>
    </cacheField>
    <cacheField name="Category" numFmtId="0">
      <sharedItems count="2">
        <s v="Investment"/>
        <s v="Others"/>
      </sharedItems>
    </cacheField>
    <cacheField name="SubCategory" numFmtId="0">
      <sharedItems count="4">
        <s v="Mutual Fund"/>
        <s v="Debt Fund"/>
        <s v="Equity"/>
        <s v="Others"/>
      </sharedItems>
    </cacheField>
    <cacheField name="Quantity" numFmtId="0">
      <sharedItems containsSemiMixedTypes="0" containsString="0" containsNumber="1" containsInteger="1" minValue="1" maxValue="4"/>
    </cacheField>
    <cacheField name="UnitPrice" numFmtId="0">
      <sharedItems containsSemiMixedTypes="0" containsString="0" containsNumber="1" containsInteger="1" minValue="1098" maxValue="9958"/>
    </cacheField>
    <cacheField name="TotalSales" numFmtId="0">
      <sharedItems containsSemiMixedTypes="0" containsString="0" containsNumber="1" containsInteger="1" minValue="1098" maxValue="39016"/>
    </cacheField>
    <cacheField name="Gender" numFmtId="0">
      <sharedItems count="2">
        <s v="Female"/>
        <s v="Male"/>
      </sharedItems>
    </cacheField>
    <cacheField name="Region" numFmtId="0">
      <sharedItems count="5">
        <s v="Delhi"/>
        <s v="Kolkata"/>
        <s v="Chennai"/>
        <s v="Mumbai"/>
        <s v="Bangalore"/>
      </sharedItems>
    </cacheField>
    <cacheField name="Country" numFmtId="0">
      <sharedItems/>
    </cacheField>
    <cacheField name="Branch" numFmtId="0">
      <sharedItems count="5">
        <s v="Branch-4"/>
        <s v="Branch-3"/>
        <s v="Branch-1"/>
        <s v="Branch-5"/>
        <s v="Branch-2"/>
      </sharedItems>
    </cacheField>
    <cacheField name="PaymentMode" numFmtId="0">
      <sharedItems count="4">
        <s v="UPI"/>
        <s v="Cheque"/>
        <s v="Credit Card"/>
        <s v="Net Banking"/>
      </sharedItems>
    </cacheField>
    <cacheField name="Months (OrderDate)" numFmtId="0" databaseField="0">
      <fieldGroup base="1">
        <rangePr groupBy="months" startDate="2023-01-01T00:00:00" endDate="2023-07-20T00:00:00"/>
        <groupItems count="14">
          <s v="&lt;01-01-2023"/>
          <s v="Jan"/>
          <s v="Feb"/>
          <s v="Mar"/>
          <s v="Apr"/>
          <s v="May"/>
          <s v="Jun"/>
          <s v="Jul"/>
          <s v="Aug"/>
          <s v="Sep"/>
          <s v="Oct"/>
          <s v="Nov"/>
          <s v="Dec"/>
          <s v="&gt;20-07-2023"/>
        </groupItems>
      </fieldGroup>
    </cacheField>
    <cacheField name="Years (OrderDate)" numFmtId="0" databaseField="0">
      <fieldGroup base="1">
        <rangePr groupBy="years" startDate="2023-01-01T00:00:00" endDate="2023-07-20T00:00:00"/>
        <groupItems count="3">
          <s v="&lt;01-01-2023"/>
          <s v="2023"/>
          <s v="&gt;20-07-2023"/>
        </groupItems>
      </fieldGroup>
    </cacheField>
  </cacheFields>
  <extLst>
    <ext xmlns:x14="http://schemas.microsoft.com/office/spreadsheetml/2009/9/main" uri="{725AE2AE-9491-48be-B2B4-4EB974FC3084}">
      <x14:pivotCacheDefinition pivotCacheId="185672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RFIN-1000"/>
    <x v="0"/>
    <x v="0"/>
    <x v="0"/>
    <x v="0"/>
    <n v="3"/>
    <n v="1863"/>
    <n v="5589"/>
    <x v="0"/>
    <x v="0"/>
    <s v="India"/>
    <x v="0"/>
    <x v="0"/>
  </r>
  <r>
    <s v="RFIN-1001"/>
    <x v="1"/>
    <x v="0"/>
    <x v="0"/>
    <x v="0"/>
    <n v="4"/>
    <n v="3790"/>
    <n v="15160"/>
    <x v="0"/>
    <x v="1"/>
    <s v="India"/>
    <x v="1"/>
    <x v="1"/>
  </r>
  <r>
    <s v="RFIN-1002"/>
    <x v="2"/>
    <x v="1"/>
    <x v="0"/>
    <x v="1"/>
    <n v="1"/>
    <n v="8408"/>
    <n v="8408"/>
    <x v="0"/>
    <x v="2"/>
    <s v="India"/>
    <x v="0"/>
    <x v="2"/>
  </r>
  <r>
    <s v="RFIN-1003"/>
    <x v="3"/>
    <x v="2"/>
    <x v="0"/>
    <x v="2"/>
    <n v="3"/>
    <n v="9755"/>
    <n v="29265"/>
    <x v="0"/>
    <x v="1"/>
    <s v="India"/>
    <x v="1"/>
    <x v="2"/>
  </r>
  <r>
    <s v="RFIN-1004"/>
    <x v="4"/>
    <x v="2"/>
    <x v="0"/>
    <x v="2"/>
    <n v="3"/>
    <n v="6116"/>
    <n v="18348"/>
    <x v="1"/>
    <x v="3"/>
    <s v="India"/>
    <x v="2"/>
    <x v="1"/>
  </r>
  <r>
    <s v="RFIN-1005"/>
    <x v="5"/>
    <x v="2"/>
    <x v="0"/>
    <x v="2"/>
    <n v="4"/>
    <n v="7019"/>
    <n v="28076"/>
    <x v="0"/>
    <x v="1"/>
    <s v="India"/>
    <x v="0"/>
    <x v="1"/>
  </r>
  <r>
    <s v="RFIN-1006"/>
    <x v="6"/>
    <x v="0"/>
    <x v="0"/>
    <x v="0"/>
    <n v="1"/>
    <n v="2757"/>
    <n v="2757"/>
    <x v="1"/>
    <x v="3"/>
    <s v="India"/>
    <x v="1"/>
    <x v="1"/>
  </r>
  <r>
    <s v="RFIN-1007"/>
    <x v="7"/>
    <x v="3"/>
    <x v="1"/>
    <x v="3"/>
    <n v="1"/>
    <n v="8574"/>
    <n v="8574"/>
    <x v="0"/>
    <x v="4"/>
    <s v="India"/>
    <x v="3"/>
    <x v="2"/>
  </r>
  <r>
    <s v="RFIN-1008"/>
    <x v="8"/>
    <x v="0"/>
    <x v="0"/>
    <x v="0"/>
    <n v="3"/>
    <n v="7374"/>
    <n v="22122"/>
    <x v="1"/>
    <x v="2"/>
    <s v="India"/>
    <x v="4"/>
    <x v="1"/>
  </r>
  <r>
    <s v="RFIN-1009"/>
    <x v="9"/>
    <x v="3"/>
    <x v="1"/>
    <x v="3"/>
    <n v="2"/>
    <n v="7892"/>
    <n v="15784"/>
    <x v="0"/>
    <x v="4"/>
    <s v="India"/>
    <x v="2"/>
    <x v="1"/>
  </r>
  <r>
    <s v="RFIN-1010"/>
    <x v="10"/>
    <x v="4"/>
    <x v="1"/>
    <x v="3"/>
    <n v="3"/>
    <n v="2678"/>
    <n v="8034"/>
    <x v="1"/>
    <x v="4"/>
    <s v="India"/>
    <x v="0"/>
    <x v="2"/>
  </r>
  <r>
    <s v="RFIN-1011"/>
    <x v="11"/>
    <x v="0"/>
    <x v="0"/>
    <x v="0"/>
    <n v="3"/>
    <n v="4242"/>
    <n v="12726"/>
    <x v="1"/>
    <x v="1"/>
    <s v="India"/>
    <x v="1"/>
    <x v="2"/>
  </r>
  <r>
    <s v="RFIN-1012"/>
    <x v="12"/>
    <x v="0"/>
    <x v="0"/>
    <x v="0"/>
    <n v="3"/>
    <n v="5636"/>
    <n v="16908"/>
    <x v="0"/>
    <x v="1"/>
    <s v="India"/>
    <x v="3"/>
    <x v="0"/>
  </r>
  <r>
    <s v="RFIN-1013"/>
    <x v="13"/>
    <x v="0"/>
    <x v="0"/>
    <x v="0"/>
    <n v="3"/>
    <n v="2059"/>
    <n v="6177"/>
    <x v="0"/>
    <x v="1"/>
    <s v="India"/>
    <x v="1"/>
    <x v="3"/>
  </r>
  <r>
    <s v="RFIN-1014"/>
    <x v="14"/>
    <x v="2"/>
    <x v="0"/>
    <x v="2"/>
    <n v="4"/>
    <n v="7668"/>
    <n v="30672"/>
    <x v="1"/>
    <x v="4"/>
    <s v="India"/>
    <x v="0"/>
    <x v="2"/>
  </r>
  <r>
    <s v="RFIN-1015"/>
    <x v="15"/>
    <x v="2"/>
    <x v="0"/>
    <x v="2"/>
    <n v="1"/>
    <n v="4157"/>
    <n v="4157"/>
    <x v="0"/>
    <x v="2"/>
    <s v="India"/>
    <x v="1"/>
    <x v="3"/>
  </r>
  <r>
    <s v="RFIN-1016"/>
    <x v="16"/>
    <x v="3"/>
    <x v="1"/>
    <x v="3"/>
    <n v="4"/>
    <n v="6915"/>
    <n v="27660"/>
    <x v="0"/>
    <x v="2"/>
    <s v="India"/>
    <x v="0"/>
    <x v="0"/>
  </r>
  <r>
    <s v="RFIN-1017"/>
    <x v="17"/>
    <x v="3"/>
    <x v="1"/>
    <x v="3"/>
    <n v="4"/>
    <n v="3693"/>
    <n v="14772"/>
    <x v="1"/>
    <x v="3"/>
    <s v="India"/>
    <x v="1"/>
    <x v="0"/>
  </r>
  <r>
    <s v="RFIN-1018"/>
    <x v="18"/>
    <x v="0"/>
    <x v="0"/>
    <x v="0"/>
    <n v="4"/>
    <n v="4627"/>
    <n v="18508"/>
    <x v="0"/>
    <x v="0"/>
    <s v="India"/>
    <x v="4"/>
    <x v="1"/>
  </r>
  <r>
    <s v="RFIN-1019"/>
    <x v="19"/>
    <x v="3"/>
    <x v="1"/>
    <x v="3"/>
    <n v="3"/>
    <n v="6450"/>
    <n v="19350"/>
    <x v="0"/>
    <x v="2"/>
    <s v="India"/>
    <x v="0"/>
    <x v="0"/>
  </r>
  <r>
    <s v="RFIN-1020"/>
    <x v="20"/>
    <x v="2"/>
    <x v="0"/>
    <x v="2"/>
    <n v="2"/>
    <n v="2663"/>
    <n v="5326"/>
    <x v="0"/>
    <x v="1"/>
    <s v="India"/>
    <x v="0"/>
    <x v="1"/>
  </r>
  <r>
    <s v="RFIN-1021"/>
    <x v="21"/>
    <x v="3"/>
    <x v="1"/>
    <x v="3"/>
    <n v="1"/>
    <n v="6592"/>
    <n v="6592"/>
    <x v="0"/>
    <x v="3"/>
    <s v="India"/>
    <x v="2"/>
    <x v="1"/>
  </r>
  <r>
    <s v="RFIN-1022"/>
    <x v="22"/>
    <x v="4"/>
    <x v="1"/>
    <x v="3"/>
    <n v="2"/>
    <n v="8392"/>
    <n v="16784"/>
    <x v="0"/>
    <x v="1"/>
    <s v="India"/>
    <x v="4"/>
    <x v="2"/>
  </r>
  <r>
    <s v="RFIN-1023"/>
    <x v="23"/>
    <x v="2"/>
    <x v="0"/>
    <x v="2"/>
    <n v="4"/>
    <n v="2306"/>
    <n v="9224"/>
    <x v="0"/>
    <x v="4"/>
    <s v="India"/>
    <x v="0"/>
    <x v="2"/>
  </r>
  <r>
    <s v="RFIN-1024"/>
    <x v="24"/>
    <x v="4"/>
    <x v="1"/>
    <x v="3"/>
    <n v="4"/>
    <n v="7776"/>
    <n v="31104"/>
    <x v="1"/>
    <x v="4"/>
    <s v="India"/>
    <x v="3"/>
    <x v="3"/>
  </r>
  <r>
    <s v="RFIN-1025"/>
    <x v="25"/>
    <x v="3"/>
    <x v="1"/>
    <x v="3"/>
    <n v="2"/>
    <n v="6864"/>
    <n v="13728"/>
    <x v="1"/>
    <x v="1"/>
    <s v="India"/>
    <x v="1"/>
    <x v="1"/>
  </r>
  <r>
    <s v="RFIN-1026"/>
    <x v="26"/>
    <x v="1"/>
    <x v="0"/>
    <x v="1"/>
    <n v="2"/>
    <n v="8526"/>
    <n v="17052"/>
    <x v="0"/>
    <x v="2"/>
    <s v="India"/>
    <x v="3"/>
    <x v="1"/>
  </r>
  <r>
    <s v="RFIN-1027"/>
    <x v="27"/>
    <x v="0"/>
    <x v="0"/>
    <x v="0"/>
    <n v="2"/>
    <n v="9901"/>
    <n v="19802"/>
    <x v="0"/>
    <x v="0"/>
    <s v="India"/>
    <x v="1"/>
    <x v="3"/>
  </r>
  <r>
    <s v="RFIN-1028"/>
    <x v="28"/>
    <x v="2"/>
    <x v="0"/>
    <x v="2"/>
    <n v="4"/>
    <n v="6575"/>
    <n v="26300"/>
    <x v="1"/>
    <x v="1"/>
    <s v="India"/>
    <x v="1"/>
    <x v="1"/>
  </r>
  <r>
    <s v="RFIN-1029"/>
    <x v="29"/>
    <x v="4"/>
    <x v="1"/>
    <x v="3"/>
    <n v="4"/>
    <n v="6530"/>
    <n v="26120"/>
    <x v="0"/>
    <x v="2"/>
    <s v="India"/>
    <x v="2"/>
    <x v="0"/>
  </r>
  <r>
    <s v="RFIN-1030"/>
    <x v="30"/>
    <x v="1"/>
    <x v="0"/>
    <x v="1"/>
    <n v="1"/>
    <n v="5413"/>
    <n v="5413"/>
    <x v="0"/>
    <x v="3"/>
    <s v="India"/>
    <x v="0"/>
    <x v="1"/>
  </r>
  <r>
    <s v="RFIN-1031"/>
    <x v="31"/>
    <x v="1"/>
    <x v="0"/>
    <x v="1"/>
    <n v="1"/>
    <n v="4748"/>
    <n v="4748"/>
    <x v="1"/>
    <x v="1"/>
    <s v="India"/>
    <x v="1"/>
    <x v="1"/>
  </r>
  <r>
    <s v="RFIN-1032"/>
    <x v="32"/>
    <x v="2"/>
    <x v="0"/>
    <x v="2"/>
    <n v="4"/>
    <n v="1663"/>
    <n v="6652"/>
    <x v="0"/>
    <x v="3"/>
    <s v="India"/>
    <x v="2"/>
    <x v="1"/>
  </r>
  <r>
    <s v="RFIN-1033"/>
    <x v="33"/>
    <x v="2"/>
    <x v="0"/>
    <x v="2"/>
    <n v="2"/>
    <n v="2998"/>
    <n v="5996"/>
    <x v="0"/>
    <x v="2"/>
    <s v="India"/>
    <x v="3"/>
    <x v="2"/>
  </r>
  <r>
    <s v="RFIN-1034"/>
    <x v="34"/>
    <x v="1"/>
    <x v="0"/>
    <x v="1"/>
    <n v="2"/>
    <n v="8994"/>
    <n v="17988"/>
    <x v="1"/>
    <x v="2"/>
    <s v="India"/>
    <x v="2"/>
    <x v="0"/>
  </r>
  <r>
    <s v="RFIN-1035"/>
    <x v="35"/>
    <x v="0"/>
    <x v="0"/>
    <x v="0"/>
    <n v="1"/>
    <n v="2495"/>
    <n v="2495"/>
    <x v="0"/>
    <x v="2"/>
    <s v="India"/>
    <x v="3"/>
    <x v="1"/>
  </r>
  <r>
    <s v="RFIN-1036"/>
    <x v="36"/>
    <x v="0"/>
    <x v="0"/>
    <x v="0"/>
    <n v="4"/>
    <n v="4304"/>
    <n v="17216"/>
    <x v="0"/>
    <x v="2"/>
    <s v="India"/>
    <x v="0"/>
    <x v="0"/>
  </r>
  <r>
    <s v="RFIN-1037"/>
    <x v="37"/>
    <x v="4"/>
    <x v="1"/>
    <x v="3"/>
    <n v="1"/>
    <n v="4763"/>
    <n v="4763"/>
    <x v="0"/>
    <x v="4"/>
    <s v="India"/>
    <x v="1"/>
    <x v="0"/>
  </r>
  <r>
    <s v="RFIN-1038"/>
    <x v="38"/>
    <x v="0"/>
    <x v="0"/>
    <x v="0"/>
    <n v="1"/>
    <n v="6232"/>
    <n v="6232"/>
    <x v="0"/>
    <x v="2"/>
    <s v="India"/>
    <x v="4"/>
    <x v="0"/>
  </r>
  <r>
    <s v="RFIN-1039"/>
    <x v="39"/>
    <x v="1"/>
    <x v="0"/>
    <x v="1"/>
    <n v="3"/>
    <n v="2853"/>
    <n v="8559"/>
    <x v="0"/>
    <x v="4"/>
    <s v="India"/>
    <x v="3"/>
    <x v="3"/>
  </r>
  <r>
    <s v="RFIN-1040"/>
    <x v="40"/>
    <x v="1"/>
    <x v="0"/>
    <x v="1"/>
    <n v="3"/>
    <n v="7585"/>
    <n v="22755"/>
    <x v="1"/>
    <x v="0"/>
    <s v="India"/>
    <x v="1"/>
    <x v="1"/>
  </r>
  <r>
    <s v="RFIN-1041"/>
    <x v="41"/>
    <x v="3"/>
    <x v="1"/>
    <x v="3"/>
    <n v="3"/>
    <n v="2291"/>
    <n v="6873"/>
    <x v="0"/>
    <x v="4"/>
    <s v="India"/>
    <x v="4"/>
    <x v="2"/>
  </r>
  <r>
    <s v="RFIN-1042"/>
    <x v="42"/>
    <x v="1"/>
    <x v="0"/>
    <x v="1"/>
    <n v="2"/>
    <n v="4581"/>
    <n v="9162"/>
    <x v="1"/>
    <x v="3"/>
    <s v="India"/>
    <x v="4"/>
    <x v="2"/>
  </r>
  <r>
    <s v="RFIN-1043"/>
    <x v="43"/>
    <x v="0"/>
    <x v="0"/>
    <x v="0"/>
    <n v="4"/>
    <n v="8554"/>
    <n v="34216"/>
    <x v="1"/>
    <x v="0"/>
    <s v="India"/>
    <x v="3"/>
    <x v="2"/>
  </r>
  <r>
    <s v="RFIN-1044"/>
    <x v="44"/>
    <x v="4"/>
    <x v="1"/>
    <x v="3"/>
    <n v="4"/>
    <n v="8280"/>
    <n v="33120"/>
    <x v="0"/>
    <x v="3"/>
    <s v="India"/>
    <x v="1"/>
    <x v="2"/>
  </r>
  <r>
    <s v="RFIN-1045"/>
    <x v="45"/>
    <x v="3"/>
    <x v="1"/>
    <x v="3"/>
    <n v="4"/>
    <n v="2636"/>
    <n v="10544"/>
    <x v="0"/>
    <x v="1"/>
    <s v="India"/>
    <x v="4"/>
    <x v="1"/>
  </r>
  <r>
    <s v="RFIN-1046"/>
    <x v="46"/>
    <x v="0"/>
    <x v="0"/>
    <x v="0"/>
    <n v="4"/>
    <n v="4696"/>
    <n v="18784"/>
    <x v="1"/>
    <x v="1"/>
    <s v="India"/>
    <x v="2"/>
    <x v="2"/>
  </r>
  <r>
    <s v="RFIN-1047"/>
    <x v="47"/>
    <x v="4"/>
    <x v="1"/>
    <x v="3"/>
    <n v="3"/>
    <n v="1698"/>
    <n v="5094"/>
    <x v="1"/>
    <x v="4"/>
    <s v="India"/>
    <x v="2"/>
    <x v="0"/>
  </r>
  <r>
    <s v="RFIN-1048"/>
    <x v="48"/>
    <x v="0"/>
    <x v="0"/>
    <x v="0"/>
    <n v="2"/>
    <n v="5737"/>
    <n v="11474"/>
    <x v="0"/>
    <x v="3"/>
    <s v="India"/>
    <x v="1"/>
    <x v="3"/>
  </r>
  <r>
    <s v="RFIN-1049"/>
    <x v="49"/>
    <x v="3"/>
    <x v="1"/>
    <x v="3"/>
    <n v="2"/>
    <n v="1854"/>
    <n v="3708"/>
    <x v="1"/>
    <x v="1"/>
    <s v="India"/>
    <x v="0"/>
    <x v="2"/>
  </r>
  <r>
    <s v="RFIN-1050"/>
    <x v="50"/>
    <x v="1"/>
    <x v="0"/>
    <x v="1"/>
    <n v="3"/>
    <n v="9164"/>
    <n v="27492"/>
    <x v="1"/>
    <x v="1"/>
    <s v="India"/>
    <x v="2"/>
    <x v="0"/>
  </r>
  <r>
    <s v="RFIN-1051"/>
    <x v="51"/>
    <x v="3"/>
    <x v="1"/>
    <x v="3"/>
    <n v="2"/>
    <n v="6855"/>
    <n v="13710"/>
    <x v="1"/>
    <x v="1"/>
    <s v="India"/>
    <x v="3"/>
    <x v="2"/>
  </r>
  <r>
    <s v="RFIN-1052"/>
    <x v="52"/>
    <x v="1"/>
    <x v="0"/>
    <x v="1"/>
    <n v="3"/>
    <n v="8392"/>
    <n v="25176"/>
    <x v="1"/>
    <x v="0"/>
    <s v="India"/>
    <x v="1"/>
    <x v="1"/>
  </r>
  <r>
    <s v="RFIN-1053"/>
    <x v="53"/>
    <x v="3"/>
    <x v="1"/>
    <x v="3"/>
    <n v="4"/>
    <n v="7528"/>
    <n v="30112"/>
    <x v="1"/>
    <x v="0"/>
    <s v="India"/>
    <x v="4"/>
    <x v="0"/>
  </r>
  <r>
    <s v="RFIN-1054"/>
    <x v="54"/>
    <x v="2"/>
    <x v="0"/>
    <x v="2"/>
    <n v="3"/>
    <n v="6249"/>
    <n v="18747"/>
    <x v="1"/>
    <x v="2"/>
    <s v="India"/>
    <x v="2"/>
    <x v="1"/>
  </r>
  <r>
    <s v="RFIN-1055"/>
    <x v="55"/>
    <x v="0"/>
    <x v="0"/>
    <x v="0"/>
    <n v="4"/>
    <n v="6172"/>
    <n v="24688"/>
    <x v="0"/>
    <x v="3"/>
    <s v="India"/>
    <x v="1"/>
    <x v="2"/>
  </r>
  <r>
    <s v="RFIN-1056"/>
    <x v="56"/>
    <x v="0"/>
    <x v="0"/>
    <x v="0"/>
    <n v="4"/>
    <n v="2707"/>
    <n v="10828"/>
    <x v="1"/>
    <x v="1"/>
    <s v="India"/>
    <x v="1"/>
    <x v="0"/>
  </r>
  <r>
    <s v="RFIN-1057"/>
    <x v="57"/>
    <x v="2"/>
    <x v="0"/>
    <x v="2"/>
    <n v="1"/>
    <n v="6791"/>
    <n v="6791"/>
    <x v="0"/>
    <x v="3"/>
    <s v="India"/>
    <x v="0"/>
    <x v="0"/>
  </r>
  <r>
    <s v="RFIN-1058"/>
    <x v="58"/>
    <x v="1"/>
    <x v="0"/>
    <x v="1"/>
    <n v="3"/>
    <n v="6535"/>
    <n v="19605"/>
    <x v="0"/>
    <x v="2"/>
    <s v="India"/>
    <x v="4"/>
    <x v="0"/>
  </r>
  <r>
    <s v="RFIN-1059"/>
    <x v="59"/>
    <x v="0"/>
    <x v="0"/>
    <x v="0"/>
    <n v="1"/>
    <n v="5931"/>
    <n v="5931"/>
    <x v="1"/>
    <x v="4"/>
    <s v="India"/>
    <x v="4"/>
    <x v="2"/>
  </r>
  <r>
    <s v="RFIN-1060"/>
    <x v="60"/>
    <x v="2"/>
    <x v="0"/>
    <x v="2"/>
    <n v="3"/>
    <n v="4510"/>
    <n v="13530"/>
    <x v="0"/>
    <x v="2"/>
    <s v="India"/>
    <x v="4"/>
    <x v="3"/>
  </r>
  <r>
    <s v="RFIN-1061"/>
    <x v="61"/>
    <x v="0"/>
    <x v="0"/>
    <x v="0"/>
    <n v="3"/>
    <n v="1202"/>
    <n v="3606"/>
    <x v="0"/>
    <x v="1"/>
    <s v="India"/>
    <x v="3"/>
    <x v="3"/>
  </r>
  <r>
    <s v="RFIN-1062"/>
    <x v="62"/>
    <x v="4"/>
    <x v="1"/>
    <x v="3"/>
    <n v="1"/>
    <n v="5218"/>
    <n v="5218"/>
    <x v="0"/>
    <x v="4"/>
    <s v="India"/>
    <x v="1"/>
    <x v="1"/>
  </r>
  <r>
    <s v="RFIN-1063"/>
    <x v="63"/>
    <x v="1"/>
    <x v="0"/>
    <x v="1"/>
    <n v="1"/>
    <n v="9958"/>
    <n v="9958"/>
    <x v="1"/>
    <x v="4"/>
    <s v="India"/>
    <x v="3"/>
    <x v="3"/>
  </r>
  <r>
    <s v="RFIN-1064"/>
    <x v="64"/>
    <x v="4"/>
    <x v="1"/>
    <x v="3"/>
    <n v="3"/>
    <n v="5389"/>
    <n v="16167"/>
    <x v="1"/>
    <x v="2"/>
    <s v="India"/>
    <x v="3"/>
    <x v="2"/>
  </r>
  <r>
    <s v="RFIN-1065"/>
    <x v="65"/>
    <x v="1"/>
    <x v="0"/>
    <x v="1"/>
    <n v="2"/>
    <n v="3327"/>
    <n v="6654"/>
    <x v="1"/>
    <x v="1"/>
    <s v="India"/>
    <x v="1"/>
    <x v="0"/>
  </r>
  <r>
    <s v="RFIN-1066"/>
    <x v="66"/>
    <x v="2"/>
    <x v="0"/>
    <x v="2"/>
    <n v="4"/>
    <n v="9004"/>
    <n v="36016"/>
    <x v="1"/>
    <x v="4"/>
    <s v="India"/>
    <x v="4"/>
    <x v="0"/>
  </r>
  <r>
    <s v="RFIN-1067"/>
    <x v="67"/>
    <x v="1"/>
    <x v="0"/>
    <x v="1"/>
    <n v="1"/>
    <n v="3931"/>
    <n v="3931"/>
    <x v="0"/>
    <x v="2"/>
    <s v="India"/>
    <x v="1"/>
    <x v="2"/>
  </r>
  <r>
    <s v="RFIN-1068"/>
    <x v="68"/>
    <x v="1"/>
    <x v="0"/>
    <x v="1"/>
    <n v="4"/>
    <n v="8777"/>
    <n v="35108"/>
    <x v="1"/>
    <x v="2"/>
    <s v="India"/>
    <x v="0"/>
    <x v="0"/>
  </r>
  <r>
    <s v="RFIN-1069"/>
    <x v="69"/>
    <x v="2"/>
    <x v="0"/>
    <x v="2"/>
    <n v="2"/>
    <n v="1197"/>
    <n v="2394"/>
    <x v="1"/>
    <x v="1"/>
    <s v="India"/>
    <x v="1"/>
    <x v="3"/>
  </r>
  <r>
    <s v="RFIN-1070"/>
    <x v="70"/>
    <x v="1"/>
    <x v="0"/>
    <x v="1"/>
    <n v="2"/>
    <n v="8125"/>
    <n v="16250"/>
    <x v="0"/>
    <x v="2"/>
    <s v="India"/>
    <x v="1"/>
    <x v="1"/>
  </r>
  <r>
    <s v="RFIN-1071"/>
    <x v="71"/>
    <x v="0"/>
    <x v="0"/>
    <x v="0"/>
    <n v="2"/>
    <n v="2930"/>
    <n v="5860"/>
    <x v="1"/>
    <x v="2"/>
    <s v="India"/>
    <x v="2"/>
    <x v="2"/>
  </r>
  <r>
    <s v="RFIN-1072"/>
    <x v="72"/>
    <x v="3"/>
    <x v="1"/>
    <x v="3"/>
    <n v="1"/>
    <n v="7287"/>
    <n v="7287"/>
    <x v="1"/>
    <x v="2"/>
    <s v="India"/>
    <x v="0"/>
    <x v="0"/>
  </r>
  <r>
    <s v="RFIN-1073"/>
    <x v="73"/>
    <x v="2"/>
    <x v="0"/>
    <x v="2"/>
    <n v="2"/>
    <n v="9800"/>
    <n v="19600"/>
    <x v="1"/>
    <x v="3"/>
    <s v="India"/>
    <x v="2"/>
    <x v="2"/>
  </r>
  <r>
    <s v="RFIN-1074"/>
    <x v="74"/>
    <x v="3"/>
    <x v="1"/>
    <x v="3"/>
    <n v="1"/>
    <n v="5282"/>
    <n v="5282"/>
    <x v="0"/>
    <x v="0"/>
    <s v="India"/>
    <x v="4"/>
    <x v="3"/>
  </r>
  <r>
    <s v="RFIN-1075"/>
    <x v="75"/>
    <x v="2"/>
    <x v="0"/>
    <x v="2"/>
    <n v="2"/>
    <n v="3511"/>
    <n v="7022"/>
    <x v="1"/>
    <x v="3"/>
    <s v="India"/>
    <x v="4"/>
    <x v="0"/>
  </r>
  <r>
    <s v="RFIN-1076"/>
    <x v="76"/>
    <x v="2"/>
    <x v="0"/>
    <x v="2"/>
    <n v="4"/>
    <n v="1659"/>
    <n v="6636"/>
    <x v="0"/>
    <x v="2"/>
    <s v="India"/>
    <x v="0"/>
    <x v="0"/>
  </r>
  <r>
    <s v="RFIN-1077"/>
    <x v="77"/>
    <x v="4"/>
    <x v="1"/>
    <x v="3"/>
    <n v="4"/>
    <n v="3811"/>
    <n v="15244"/>
    <x v="0"/>
    <x v="0"/>
    <s v="India"/>
    <x v="3"/>
    <x v="0"/>
  </r>
  <r>
    <s v="RFIN-1078"/>
    <x v="78"/>
    <x v="4"/>
    <x v="1"/>
    <x v="3"/>
    <n v="3"/>
    <n v="8098"/>
    <n v="24294"/>
    <x v="0"/>
    <x v="4"/>
    <s v="India"/>
    <x v="1"/>
    <x v="0"/>
  </r>
  <r>
    <s v="RFIN-1079"/>
    <x v="79"/>
    <x v="1"/>
    <x v="0"/>
    <x v="1"/>
    <n v="4"/>
    <n v="7546"/>
    <n v="30184"/>
    <x v="0"/>
    <x v="3"/>
    <s v="India"/>
    <x v="2"/>
    <x v="2"/>
  </r>
  <r>
    <s v="RFIN-1080"/>
    <x v="80"/>
    <x v="3"/>
    <x v="1"/>
    <x v="3"/>
    <n v="3"/>
    <n v="2986"/>
    <n v="8958"/>
    <x v="0"/>
    <x v="3"/>
    <s v="India"/>
    <x v="0"/>
    <x v="3"/>
  </r>
  <r>
    <s v="RFIN-1081"/>
    <x v="81"/>
    <x v="2"/>
    <x v="0"/>
    <x v="2"/>
    <n v="4"/>
    <n v="9338"/>
    <n v="37352"/>
    <x v="1"/>
    <x v="3"/>
    <s v="India"/>
    <x v="2"/>
    <x v="3"/>
  </r>
  <r>
    <s v="RFIN-1082"/>
    <x v="82"/>
    <x v="1"/>
    <x v="0"/>
    <x v="1"/>
    <n v="1"/>
    <n v="3911"/>
    <n v="3911"/>
    <x v="0"/>
    <x v="1"/>
    <s v="India"/>
    <x v="1"/>
    <x v="1"/>
  </r>
  <r>
    <s v="RFIN-1083"/>
    <x v="83"/>
    <x v="0"/>
    <x v="0"/>
    <x v="0"/>
    <n v="4"/>
    <n v="2734"/>
    <n v="10936"/>
    <x v="0"/>
    <x v="2"/>
    <s v="India"/>
    <x v="3"/>
    <x v="2"/>
  </r>
  <r>
    <s v="RFIN-1084"/>
    <x v="84"/>
    <x v="2"/>
    <x v="0"/>
    <x v="2"/>
    <n v="3"/>
    <n v="2843"/>
    <n v="8529"/>
    <x v="0"/>
    <x v="4"/>
    <s v="India"/>
    <x v="2"/>
    <x v="3"/>
  </r>
  <r>
    <s v="RFIN-1085"/>
    <x v="85"/>
    <x v="0"/>
    <x v="0"/>
    <x v="0"/>
    <n v="3"/>
    <n v="9680"/>
    <n v="29040"/>
    <x v="1"/>
    <x v="4"/>
    <s v="India"/>
    <x v="0"/>
    <x v="2"/>
  </r>
  <r>
    <s v="RFIN-1086"/>
    <x v="86"/>
    <x v="1"/>
    <x v="0"/>
    <x v="1"/>
    <n v="2"/>
    <n v="3976"/>
    <n v="7952"/>
    <x v="0"/>
    <x v="4"/>
    <s v="India"/>
    <x v="1"/>
    <x v="2"/>
  </r>
  <r>
    <s v="RFIN-1087"/>
    <x v="87"/>
    <x v="4"/>
    <x v="1"/>
    <x v="3"/>
    <n v="1"/>
    <n v="2959"/>
    <n v="2959"/>
    <x v="0"/>
    <x v="2"/>
    <s v="India"/>
    <x v="1"/>
    <x v="3"/>
  </r>
  <r>
    <s v="RFIN-1088"/>
    <x v="88"/>
    <x v="1"/>
    <x v="0"/>
    <x v="1"/>
    <n v="4"/>
    <n v="6759"/>
    <n v="27036"/>
    <x v="1"/>
    <x v="0"/>
    <s v="India"/>
    <x v="3"/>
    <x v="1"/>
  </r>
  <r>
    <s v="RFIN-1089"/>
    <x v="89"/>
    <x v="0"/>
    <x v="0"/>
    <x v="0"/>
    <n v="2"/>
    <n v="7694"/>
    <n v="15388"/>
    <x v="0"/>
    <x v="3"/>
    <s v="India"/>
    <x v="0"/>
    <x v="1"/>
  </r>
  <r>
    <s v="RFIN-1090"/>
    <x v="90"/>
    <x v="2"/>
    <x v="0"/>
    <x v="2"/>
    <n v="4"/>
    <n v="3385"/>
    <n v="13540"/>
    <x v="0"/>
    <x v="2"/>
    <s v="India"/>
    <x v="1"/>
    <x v="1"/>
  </r>
  <r>
    <s v="RFIN-1091"/>
    <x v="91"/>
    <x v="3"/>
    <x v="1"/>
    <x v="3"/>
    <n v="4"/>
    <n v="5736"/>
    <n v="22944"/>
    <x v="1"/>
    <x v="3"/>
    <s v="India"/>
    <x v="2"/>
    <x v="0"/>
  </r>
  <r>
    <s v="RFIN-1092"/>
    <x v="92"/>
    <x v="1"/>
    <x v="0"/>
    <x v="1"/>
    <n v="2"/>
    <n v="2802"/>
    <n v="5604"/>
    <x v="0"/>
    <x v="2"/>
    <s v="India"/>
    <x v="4"/>
    <x v="3"/>
  </r>
  <r>
    <s v="RFIN-1093"/>
    <x v="93"/>
    <x v="2"/>
    <x v="0"/>
    <x v="2"/>
    <n v="2"/>
    <n v="9155"/>
    <n v="18310"/>
    <x v="1"/>
    <x v="3"/>
    <s v="India"/>
    <x v="0"/>
    <x v="0"/>
  </r>
  <r>
    <s v="RFIN-1094"/>
    <x v="94"/>
    <x v="4"/>
    <x v="1"/>
    <x v="3"/>
    <n v="2"/>
    <n v="9120"/>
    <n v="18240"/>
    <x v="0"/>
    <x v="2"/>
    <s v="India"/>
    <x v="2"/>
    <x v="0"/>
  </r>
  <r>
    <s v="RFIN-1095"/>
    <x v="95"/>
    <x v="4"/>
    <x v="1"/>
    <x v="3"/>
    <n v="2"/>
    <n v="7616"/>
    <n v="15232"/>
    <x v="0"/>
    <x v="0"/>
    <s v="India"/>
    <x v="3"/>
    <x v="0"/>
  </r>
  <r>
    <s v="RFIN-1096"/>
    <x v="96"/>
    <x v="4"/>
    <x v="1"/>
    <x v="3"/>
    <n v="2"/>
    <n v="6534"/>
    <n v="13068"/>
    <x v="0"/>
    <x v="4"/>
    <s v="India"/>
    <x v="3"/>
    <x v="2"/>
  </r>
  <r>
    <s v="RFIN-1097"/>
    <x v="97"/>
    <x v="2"/>
    <x v="0"/>
    <x v="2"/>
    <n v="4"/>
    <n v="5061"/>
    <n v="20244"/>
    <x v="1"/>
    <x v="3"/>
    <s v="India"/>
    <x v="1"/>
    <x v="2"/>
  </r>
  <r>
    <s v="RFIN-1098"/>
    <x v="98"/>
    <x v="1"/>
    <x v="0"/>
    <x v="1"/>
    <n v="2"/>
    <n v="1262"/>
    <n v="2524"/>
    <x v="1"/>
    <x v="2"/>
    <s v="India"/>
    <x v="3"/>
    <x v="3"/>
  </r>
  <r>
    <s v="RFIN-1099"/>
    <x v="99"/>
    <x v="2"/>
    <x v="0"/>
    <x v="2"/>
    <n v="1"/>
    <n v="7287"/>
    <n v="7287"/>
    <x v="1"/>
    <x v="0"/>
    <s v="India"/>
    <x v="4"/>
    <x v="3"/>
  </r>
  <r>
    <s v="RFIN-1100"/>
    <x v="100"/>
    <x v="2"/>
    <x v="0"/>
    <x v="2"/>
    <n v="3"/>
    <n v="9815"/>
    <n v="29445"/>
    <x v="1"/>
    <x v="0"/>
    <s v="India"/>
    <x v="2"/>
    <x v="2"/>
  </r>
  <r>
    <s v="RFIN-1101"/>
    <x v="101"/>
    <x v="3"/>
    <x v="1"/>
    <x v="3"/>
    <n v="2"/>
    <n v="3049"/>
    <n v="6098"/>
    <x v="0"/>
    <x v="4"/>
    <s v="India"/>
    <x v="0"/>
    <x v="2"/>
  </r>
  <r>
    <s v="RFIN-1102"/>
    <x v="102"/>
    <x v="3"/>
    <x v="1"/>
    <x v="3"/>
    <n v="2"/>
    <n v="6423"/>
    <n v="12846"/>
    <x v="1"/>
    <x v="2"/>
    <s v="India"/>
    <x v="1"/>
    <x v="0"/>
  </r>
  <r>
    <s v="RFIN-1103"/>
    <x v="103"/>
    <x v="1"/>
    <x v="0"/>
    <x v="1"/>
    <n v="4"/>
    <n v="5548"/>
    <n v="22192"/>
    <x v="1"/>
    <x v="3"/>
    <s v="India"/>
    <x v="0"/>
    <x v="1"/>
  </r>
  <r>
    <s v="RFIN-1104"/>
    <x v="104"/>
    <x v="3"/>
    <x v="1"/>
    <x v="3"/>
    <n v="2"/>
    <n v="4108"/>
    <n v="8216"/>
    <x v="1"/>
    <x v="1"/>
    <s v="India"/>
    <x v="2"/>
    <x v="1"/>
  </r>
  <r>
    <s v="RFIN-1105"/>
    <x v="105"/>
    <x v="4"/>
    <x v="1"/>
    <x v="3"/>
    <n v="2"/>
    <n v="8158"/>
    <n v="16316"/>
    <x v="0"/>
    <x v="0"/>
    <s v="India"/>
    <x v="4"/>
    <x v="1"/>
  </r>
  <r>
    <s v="RFIN-1106"/>
    <x v="106"/>
    <x v="3"/>
    <x v="1"/>
    <x v="3"/>
    <n v="2"/>
    <n v="8400"/>
    <n v="16800"/>
    <x v="0"/>
    <x v="0"/>
    <s v="India"/>
    <x v="2"/>
    <x v="1"/>
  </r>
  <r>
    <s v="RFIN-1107"/>
    <x v="107"/>
    <x v="4"/>
    <x v="1"/>
    <x v="3"/>
    <n v="4"/>
    <n v="4170"/>
    <n v="16680"/>
    <x v="0"/>
    <x v="4"/>
    <s v="India"/>
    <x v="2"/>
    <x v="1"/>
  </r>
  <r>
    <s v="RFIN-1108"/>
    <x v="108"/>
    <x v="1"/>
    <x v="0"/>
    <x v="1"/>
    <n v="2"/>
    <n v="3255"/>
    <n v="6510"/>
    <x v="0"/>
    <x v="2"/>
    <s v="India"/>
    <x v="1"/>
    <x v="0"/>
  </r>
  <r>
    <s v="RFIN-1109"/>
    <x v="109"/>
    <x v="2"/>
    <x v="0"/>
    <x v="2"/>
    <n v="3"/>
    <n v="2154"/>
    <n v="6462"/>
    <x v="0"/>
    <x v="1"/>
    <s v="India"/>
    <x v="0"/>
    <x v="3"/>
  </r>
  <r>
    <s v="RFIN-1110"/>
    <x v="110"/>
    <x v="2"/>
    <x v="0"/>
    <x v="2"/>
    <n v="4"/>
    <n v="5499"/>
    <n v="21996"/>
    <x v="1"/>
    <x v="1"/>
    <s v="India"/>
    <x v="2"/>
    <x v="2"/>
  </r>
  <r>
    <s v="RFIN-1111"/>
    <x v="111"/>
    <x v="3"/>
    <x v="1"/>
    <x v="3"/>
    <n v="3"/>
    <n v="7295"/>
    <n v="21885"/>
    <x v="1"/>
    <x v="1"/>
    <s v="India"/>
    <x v="2"/>
    <x v="0"/>
  </r>
  <r>
    <s v="RFIN-1112"/>
    <x v="112"/>
    <x v="4"/>
    <x v="1"/>
    <x v="3"/>
    <n v="4"/>
    <n v="7197"/>
    <n v="28788"/>
    <x v="0"/>
    <x v="2"/>
    <s v="India"/>
    <x v="4"/>
    <x v="1"/>
  </r>
  <r>
    <s v="RFIN-1113"/>
    <x v="113"/>
    <x v="0"/>
    <x v="0"/>
    <x v="0"/>
    <n v="2"/>
    <n v="2648"/>
    <n v="5296"/>
    <x v="0"/>
    <x v="3"/>
    <s v="India"/>
    <x v="3"/>
    <x v="2"/>
  </r>
  <r>
    <s v="RFIN-1114"/>
    <x v="114"/>
    <x v="0"/>
    <x v="0"/>
    <x v="0"/>
    <n v="3"/>
    <n v="6539"/>
    <n v="19617"/>
    <x v="1"/>
    <x v="0"/>
    <s v="India"/>
    <x v="4"/>
    <x v="0"/>
  </r>
  <r>
    <s v="RFIN-1115"/>
    <x v="115"/>
    <x v="0"/>
    <x v="0"/>
    <x v="0"/>
    <n v="4"/>
    <n v="5199"/>
    <n v="20796"/>
    <x v="0"/>
    <x v="2"/>
    <s v="India"/>
    <x v="0"/>
    <x v="1"/>
  </r>
  <r>
    <s v="RFIN-1116"/>
    <x v="116"/>
    <x v="2"/>
    <x v="0"/>
    <x v="2"/>
    <n v="1"/>
    <n v="9445"/>
    <n v="9445"/>
    <x v="0"/>
    <x v="1"/>
    <s v="India"/>
    <x v="0"/>
    <x v="0"/>
  </r>
  <r>
    <s v="RFIN-1117"/>
    <x v="117"/>
    <x v="2"/>
    <x v="0"/>
    <x v="2"/>
    <n v="2"/>
    <n v="3557"/>
    <n v="7114"/>
    <x v="1"/>
    <x v="0"/>
    <s v="India"/>
    <x v="1"/>
    <x v="2"/>
  </r>
  <r>
    <s v="RFIN-1118"/>
    <x v="118"/>
    <x v="4"/>
    <x v="1"/>
    <x v="3"/>
    <n v="4"/>
    <n v="6592"/>
    <n v="26368"/>
    <x v="0"/>
    <x v="0"/>
    <s v="India"/>
    <x v="3"/>
    <x v="3"/>
  </r>
  <r>
    <s v="RFIN-1119"/>
    <x v="119"/>
    <x v="3"/>
    <x v="1"/>
    <x v="3"/>
    <n v="1"/>
    <n v="1098"/>
    <n v="1098"/>
    <x v="0"/>
    <x v="1"/>
    <s v="India"/>
    <x v="0"/>
    <x v="1"/>
  </r>
  <r>
    <s v="RFIN-1120"/>
    <x v="120"/>
    <x v="0"/>
    <x v="0"/>
    <x v="0"/>
    <n v="4"/>
    <n v="3200"/>
    <n v="12800"/>
    <x v="0"/>
    <x v="1"/>
    <s v="India"/>
    <x v="3"/>
    <x v="2"/>
  </r>
  <r>
    <s v="RFIN-1121"/>
    <x v="121"/>
    <x v="4"/>
    <x v="1"/>
    <x v="3"/>
    <n v="1"/>
    <n v="3961"/>
    <n v="3961"/>
    <x v="0"/>
    <x v="0"/>
    <s v="India"/>
    <x v="4"/>
    <x v="2"/>
  </r>
  <r>
    <s v="RFIN-1122"/>
    <x v="122"/>
    <x v="4"/>
    <x v="1"/>
    <x v="3"/>
    <n v="2"/>
    <n v="5973"/>
    <n v="11946"/>
    <x v="1"/>
    <x v="4"/>
    <s v="India"/>
    <x v="0"/>
    <x v="3"/>
  </r>
  <r>
    <s v="RFIN-1123"/>
    <x v="123"/>
    <x v="3"/>
    <x v="1"/>
    <x v="3"/>
    <n v="3"/>
    <n v="5433"/>
    <n v="16299"/>
    <x v="0"/>
    <x v="0"/>
    <s v="India"/>
    <x v="2"/>
    <x v="0"/>
  </r>
  <r>
    <s v="RFIN-1124"/>
    <x v="124"/>
    <x v="4"/>
    <x v="1"/>
    <x v="3"/>
    <n v="1"/>
    <n v="3869"/>
    <n v="3869"/>
    <x v="1"/>
    <x v="3"/>
    <s v="India"/>
    <x v="0"/>
    <x v="3"/>
  </r>
  <r>
    <s v="RFIN-1125"/>
    <x v="125"/>
    <x v="3"/>
    <x v="1"/>
    <x v="3"/>
    <n v="4"/>
    <n v="1956"/>
    <n v="7824"/>
    <x v="0"/>
    <x v="3"/>
    <s v="India"/>
    <x v="3"/>
    <x v="3"/>
  </r>
  <r>
    <s v="RFIN-1126"/>
    <x v="126"/>
    <x v="1"/>
    <x v="0"/>
    <x v="1"/>
    <n v="2"/>
    <n v="9352"/>
    <n v="18704"/>
    <x v="0"/>
    <x v="4"/>
    <s v="India"/>
    <x v="0"/>
    <x v="0"/>
  </r>
  <r>
    <s v="RFIN-1127"/>
    <x v="127"/>
    <x v="3"/>
    <x v="1"/>
    <x v="3"/>
    <n v="1"/>
    <n v="6699"/>
    <n v="6699"/>
    <x v="0"/>
    <x v="2"/>
    <s v="India"/>
    <x v="1"/>
    <x v="0"/>
  </r>
  <r>
    <s v="RFIN-1128"/>
    <x v="128"/>
    <x v="0"/>
    <x v="0"/>
    <x v="0"/>
    <n v="4"/>
    <n v="7944"/>
    <n v="31776"/>
    <x v="1"/>
    <x v="0"/>
    <s v="India"/>
    <x v="2"/>
    <x v="0"/>
  </r>
  <r>
    <s v="RFIN-1129"/>
    <x v="129"/>
    <x v="0"/>
    <x v="0"/>
    <x v="0"/>
    <n v="4"/>
    <n v="5493"/>
    <n v="21972"/>
    <x v="0"/>
    <x v="3"/>
    <s v="India"/>
    <x v="1"/>
    <x v="2"/>
  </r>
  <r>
    <s v="RFIN-1130"/>
    <x v="130"/>
    <x v="3"/>
    <x v="1"/>
    <x v="3"/>
    <n v="4"/>
    <n v="5911"/>
    <n v="23644"/>
    <x v="0"/>
    <x v="0"/>
    <s v="India"/>
    <x v="4"/>
    <x v="2"/>
  </r>
  <r>
    <s v="RFIN-1131"/>
    <x v="131"/>
    <x v="1"/>
    <x v="0"/>
    <x v="1"/>
    <n v="1"/>
    <n v="4987"/>
    <n v="4987"/>
    <x v="0"/>
    <x v="4"/>
    <s v="India"/>
    <x v="0"/>
    <x v="1"/>
  </r>
  <r>
    <s v="RFIN-1132"/>
    <x v="132"/>
    <x v="1"/>
    <x v="0"/>
    <x v="1"/>
    <n v="1"/>
    <n v="7015"/>
    <n v="7015"/>
    <x v="1"/>
    <x v="1"/>
    <s v="India"/>
    <x v="0"/>
    <x v="1"/>
  </r>
  <r>
    <s v="RFIN-1133"/>
    <x v="133"/>
    <x v="0"/>
    <x v="0"/>
    <x v="0"/>
    <n v="1"/>
    <n v="2218"/>
    <n v="2218"/>
    <x v="0"/>
    <x v="4"/>
    <s v="India"/>
    <x v="4"/>
    <x v="3"/>
  </r>
  <r>
    <s v="RFIN-1134"/>
    <x v="134"/>
    <x v="1"/>
    <x v="0"/>
    <x v="1"/>
    <n v="3"/>
    <n v="5496"/>
    <n v="16488"/>
    <x v="1"/>
    <x v="4"/>
    <s v="India"/>
    <x v="1"/>
    <x v="3"/>
  </r>
  <r>
    <s v="RFIN-1135"/>
    <x v="135"/>
    <x v="4"/>
    <x v="1"/>
    <x v="3"/>
    <n v="1"/>
    <n v="5735"/>
    <n v="5735"/>
    <x v="1"/>
    <x v="4"/>
    <s v="India"/>
    <x v="2"/>
    <x v="1"/>
  </r>
  <r>
    <s v="RFIN-1136"/>
    <x v="136"/>
    <x v="2"/>
    <x v="0"/>
    <x v="2"/>
    <n v="1"/>
    <n v="5555"/>
    <n v="5555"/>
    <x v="0"/>
    <x v="3"/>
    <s v="India"/>
    <x v="1"/>
    <x v="3"/>
  </r>
  <r>
    <s v="RFIN-1137"/>
    <x v="137"/>
    <x v="4"/>
    <x v="1"/>
    <x v="3"/>
    <n v="1"/>
    <n v="9050"/>
    <n v="9050"/>
    <x v="1"/>
    <x v="4"/>
    <s v="India"/>
    <x v="3"/>
    <x v="0"/>
  </r>
  <r>
    <s v="RFIN-1138"/>
    <x v="138"/>
    <x v="0"/>
    <x v="0"/>
    <x v="0"/>
    <n v="3"/>
    <n v="4446"/>
    <n v="13338"/>
    <x v="1"/>
    <x v="1"/>
    <s v="India"/>
    <x v="1"/>
    <x v="2"/>
  </r>
  <r>
    <s v="RFIN-1139"/>
    <x v="139"/>
    <x v="1"/>
    <x v="0"/>
    <x v="1"/>
    <n v="1"/>
    <n v="2045"/>
    <n v="2045"/>
    <x v="0"/>
    <x v="1"/>
    <s v="India"/>
    <x v="2"/>
    <x v="1"/>
  </r>
  <r>
    <s v="RFIN-1140"/>
    <x v="140"/>
    <x v="3"/>
    <x v="1"/>
    <x v="3"/>
    <n v="4"/>
    <n v="7893"/>
    <n v="31572"/>
    <x v="1"/>
    <x v="1"/>
    <s v="India"/>
    <x v="0"/>
    <x v="2"/>
  </r>
  <r>
    <s v="RFIN-1141"/>
    <x v="141"/>
    <x v="2"/>
    <x v="0"/>
    <x v="2"/>
    <n v="1"/>
    <n v="2693"/>
    <n v="2693"/>
    <x v="0"/>
    <x v="2"/>
    <s v="India"/>
    <x v="1"/>
    <x v="1"/>
  </r>
  <r>
    <s v="RFIN-1142"/>
    <x v="142"/>
    <x v="3"/>
    <x v="1"/>
    <x v="3"/>
    <n v="4"/>
    <n v="4436"/>
    <n v="17744"/>
    <x v="1"/>
    <x v="4"/>
    <s v="India"/>
    <x v="4"/>
    <x v="2"/>
  </r>
  <r>
    <s v="RFIN-1143"/>
    <x v="143"/>
    <x v="0"/>
    <x v="0"/>
    <x v="0"/>
    <n v="4"/>
    <n v="9754"/>
    <n v="39016"/>
    <x v="1"/>
    <x v="1"/>
    <s v="India"/>
    <x v="2"/>
    <x v="1"/>
  </r>
  <r>
    <s v="RFIN-1144"/>
    <x v="144"/>
    <x v="1"/>
    <x v="0"/>
    <x v="1"/>
    <n v="4"/>
    <n v="6895"/>
    <n v="27580"/>
    <x v="0"/>
    <x v="2"/>
    <s v="India"/>
    <x v="0"/>
    <x v="2"/>
  </r>
  <r>
    <s v="RFIN-1145"/>
    <x v="145"/>
    <x v="3"/>
    <x v="1"/>
    <x v="3"/>
    <n v="3"/>
    <n v="4354"/>
    <n v="13062"/>
    <x v="0"/>
    <x v="4"/>
    <s v="India"/>
    <x v="2"/>
    <x v="0"/>
  </r>
  <r>
    <s v="RFIN-1146"/>
    <x v="146"/>
    <x v="3"/>
    <x v="1"/>
    <x v="3"/>
    <n v="3"/>
    <n v="1225"/>
    <n v="3675"/>
    <x v="0"/>
    <x v="4"/>
    <s v="India"/>
    <x v="4"/>
    <x v="1"/>
  </r>
  <r>
    <s v="RFIN-1147"/>
    <x v="147"/>
    <x v="2"/>
    <x v="0"/>
    <x v="2"/>
    <n v="3"/>
    <n v="5893"/>
    <n v="17679"/>
    <x v="1"/>
    <x v="0"/>
    <s v="India"/>
    <x v="3"/>
    <x v="1"/>
  </r>
  <r>
    <s v="RFIN-1148"/>
    <x v="148"/>
    <x v="2"/>
    <x v="0"/>
    <x v="2"/>
    <n v="1"/>
    <n v="8022"/>
    <n v="8022"/>
    <x v="0"/>
    <x v="4"/>
    <s v="India"/>
    <x v="2"/>
    <x v="1"/>
  </r>
  <r>
    <s v="RFIN-1149"/>
    <x v="149"/>
    <x v="1"/>
    <x v="0"/>
    <x v="1"/>
    <n v="4"/>
    <n v="6600"/>
    <n v="26400"/>
    <x v="0"/>
    <x v="0"/>
    <s v="India"/>
    <x v="2"/>
    <x v="0"/>
  </r>
  <r>
    <s v="RFIN-1150"/>
    <x v="150"/>
    <x v="2"/>
    <x v="0"/>
    <x v="2"/>
    <n v="3"/>
    <n v="8996"/>
    <n v="26988"/>
    <x v="0"/>
    <x v="3"/>
    <s v="India"/>
    <x v="1"/>
    <x v="2"/>
  </r>
  <r>
    <s v="RFIN-1151"/>
    <x v="151"/>
    <x v="3"/>
    <x v="1"/>
    <x v="3"/>
    <n v="3"/>
    <n v="8683"/>
    <n v="26049"/>
    <x v="0"/>
    <x v="3"/>
    <s v="India"/>
    <x v="4"/>
    <x v="1"/>
  </r>
  <r>
    <s v="RFIN-1152"/>
    <x v="152"/>
    <x v="3"/>
    <x v="1"/>
    <x v="3"/>
    <n v="1"/>
    <n v="5642"/>
    <n v="5642"/>
    <x v="0"/>
    <x v="2"/>
    <s v="India"/>
    <x v="4"/>
    <x v="2"/>
  </r>
  <r>
    <s v="RFIN-1153"/>
    <x v="153"/>
    <x v="0"/>
    <x v="0"/>
    <x v="0"/>
    <n v="3"/>
    <n v="8679"/>
    <n v="26037"/>
    <x v="0"/>
    <x v="0"/>
    <s v="India"/>
    <x v="3"/>
    <x v="0"/>
  </r>
  <r>
    <s v="RFIN-1154"/>
    <x v="154"/>
    <x v="3"/>
    <x v="1"/>
    <x v="3"/>
    <n v="1"/>
    <n v="9208"/>
    <n v="9208"/>
    <x v="0"/>
    <x v="3"/>
    <s v="India"/>
    <x v="4"/>
    <x v="3"/>
  </r>
  <r>
    <s v="RFIN-1155"/>
    <x v="155"/>
    <x v="1"/>
    <x v="0"/>
    <x v="1"/>
    <n v="2"/>
    <n v="8339"/>
    <n v="16678"/>
    <x v="1"/>
    <x v="3"/>
    <s v="India"/>
    <x v="2"/>
    <x v="1"/>
  </r>
  <r>
    <s v="RFIN-1156"/>
    <x v="156"/>
    <x v="4"/>
    <x v="1"/>
    <x v="3"/>
    <n v="3"/>
    <n v="3205"/>
    <n v="9615"/>
    <x v="0"/>
    <x v="3"/>
    <s v="India"/>
    <x v="3"/>
    <x v="0"/>
  </r>
  <r>
    <s v="RFIN-1157"/>
    <x v="157"/>
    <x v="0"/>
    <x v="0"/>
    <x v="0"/>
    <n v="2"/>
    <n v="2069"/>
    <n v="4138"/>
    <x v="1"/>
    <x v="4"/>
    <s v="India"/>
    <x v="4"/>
    <x v="2"/>
  </r>
  <r>
    <s v="RFIN-1158"/>
    <x v="158"/>
    <x v="0"/>
    <x v="0"/>
    <x v="0"/>
    <n v="1"/>
    <n v="4444"/>
    <n v="4444"/>
    <x v="1"/>
    <x v="0"/>
    <s v="India"/>
    <x v="3"/>
    <x v="1"/>
  </r>
  <r>
    <s v="RFIN-1159"/>
    <x v="159"/>
    <x v="1"/>
    <x v="0"/>
    <x v="1"/>
    <n v="4"/>
    <n v="2060"/>
    <n v="8240"/>
    <x v="0"/>
    <x v="3"/>
    <s v="India"/>
    <x v="4"/>
    <x v="2"/>
  </r>
  <r>
    <s v="RFIN-1160"/>
    <x v="160"/>
    <x v="1"/>
    <x v="0"/>
    <x v="1"/>
    <n v="3"/>
    <n v="3327"/>
    <n v="9981"/>
    <x v="1"/>
    <x v="0"/>
    <s v="India"/>
    <x v="4"/>
    <x v="3"/>
  </r>
  <r>
    <s v="RFIN-1161"/>
    <x v="161"/>
    <x v="2"/>
    <x v="0"/>
    <x v="2"/>
    <n v="1"/>
    <n v="4420"/>
    <n v="4420"/>
    <x v="1"/>
    <x v="1"/>
    <s v="India"/>
    <x v="1"/>
    <x v="1"/>
  </r>
  <r>
    <s v="RFIN-1162"/>
    <x v="162"/>
    <x v="0"/>
    <x v="0"/>
    <x v="0"/>
    <n v="4"/>
    <n v="1301"/>
    <n v="5204"/>
    <x v="1"/>
    <x v="1"/>
    <s v="India"/>
    <x v="4"/>
    <x v="1"/>
  </r>
  <r>
    <s v="RFIN-1163"/>
    <x v="163"/>
    <x v="2"/>
    <x v="0"/>
    <x v="2"/>
    <n v="4"/>
    <n v="1606"/>
    <n v="6424"/>
    <x v="1"/>
    <x v="4"/>
    <s v="India"/>
    <x v="3"/>
    <x v="2"/>
  </r>
  <r>
    <s v="RFIN-1164"/>
    <x v="164"/>
    <x v="3"/>
    <x v="1"/>
    <x v="3"/>
    <n v="2"/>
    <n v="4170"/>
    <n v="8340"/>
    <x v="1"/>
    <x v="1"/>
    <s v="India"/>
    <x v="2"/>
    <x v="1"/>
  </r>
  <r>
    <s v="RFIN-1165"/>
    <x v="165"/>
    <x v="0"/>
    <x v="0"/>
    <x v="0"/>
    <n v="1"/>
    <n v="1699"/>
    <n v="1699"/>
    <x v="1"/>
    <x v="2"/>
    <s v="India"/>
    <x v="1"/>
    <x v="0"/>
  </r>
  <r>
    <s v="RFIN-1166"/>
    <x v="166"/>
    <x v="0"/>
    <x v="0"/>
    <x v="0"/>
    <n v="4"/>
    <n v="6088"/>
    <n v="24352"/>
    <x v="1"/>
    <x v="0"/>
    <s v="India"/>
    <x v="4"/>
    <x v="0"/>
  </r>
  <r>
    <s v="RFIN-1167"/>
    <x v="167"/>
    <x v="4"/>
    <x v="1"/>
    <x v="3"/>
    <n v="3"/>
    <n v="1190"/>
    <n v="3570"/>
    <x v="1"/>
    <x v="3"/>
    <s v="India"/>
    <x v="4"/>
    <x v="3"/>
  </r>
  <r>
    <s v="RFIN-1168"/>
    <x v="168"/>
    <x v="0"/>
    <x v="0"/>
    <x v="0"/>
    <n v="3"/>
    <n v="1980"/>
    <n v="5940"/>
    <x v="1"/>
    <x v="2"/>
    <s v="India"/>
    <x v="3"/>
    <x v="0"/>
  </r>
  <r>
    <s v="RFIN-1169"/>
    <x v="169"/>
    <x v="3"/>
    <x v="1"/>
    <x v="3"/>
    <n v="2"/>
    <n v="3975"/>
    <n v="7950"/>
    <x v="1"/>
    <x v="2"/>
    <s v="India"/>
    <x v="1"/>
    <x v="3"/>
  </r>
  <r>
    <s v="RFIN-1170"/>
    <x v="170"/>
    <x v="2"/>
    <x v="0"/>
    <x v="2"/>
    <n v="4"/>
    <n v="7102"/>
    <n v="28408"/>
    <x v="0"/>
    <x v="1"/>
    <s v="India"/>
    <x v="4"/>
    <x v="2"/>
  </r>
  <r>
    <s v="RFIN-1171"/>
    <x v="171"/>
    <x v="2"/>
    <x v="0"/>
    <x v="2"/>
    <n v="1"/>
    <n v="2184"/>
    <n v="2184"/>
    <x v="1"/>
    <x v="0"/>
    <s v="India"/>
    <x v="2"/>
    <x v="2"/>
  </r>
  <r>
    <s v="RFIN-1172"/>
    <x v="172"/>
    <x v="4"/>
    <x v="1"/>
    <x v="3"/>
    <n v="3"/>
    <n v="4327"/>
    <n v="12981"/>
    <x v="1"/>
    <x v="3"/>
    <s v="India"/>
    <x v="2"/>
    <x v="3"/>
  </r>
  <r>
    <s v="RFIN-1173"/>
    <x v="173"/>
    <x v="3"/>
    <x v="1"/>
    <x v="3"/>
    <n v="4"/>
    <n v="4394"/>
    <n v="17576"/>
    <x v="0"/>
    <x v="2"/>
    <s v="India"/>
    <x v="4"/>
    <x v="0"/>
  </r>
  <r>
    <s v="RFIN-1174"/>
    <x v="174"/>
    <x v="2"/>
    <x v="0"/>
    <x v="2"/>
    <n v="4"/>
    <n v="9319"/>
    <n v="37276"/>
    <x v="0"/>
    <x v="4"/>
    <s v="India"/>
    <x v="2"/>
    <x v="0"/>
  </r>
  <r>
    <s v="RFIN-1175"/>
    <x v="175"/>
    <x v="1"/>
    <x v="0"/>
    <x v="1"/>
    <n v="2"/>
    <n v="2816"/>
    <n v="5632"/>
    <x v="0"/>
    <x v="3"/>
    <s v="India"/>
    <x v="1"/>
    <x v="3"/>
  </r>
  <r>
    <s v="RFIN-1176"/>
    <x v="176"/>
    <x v="3"/>
    <x v="1"/>
    <x v="3"/>
    <n v="3"/>
    <n v="6854"/>
    <n v="20562"/>
    <x v="1"/>
    <x v="1"/>
    <s v="India"/>
    <x v="4"/>
    <x v="3"/>
  </r>
  <r>
    <s v="RFIN-1177"/>
    <x v="177"/>
    <x v="3"/>
    <x v="1"/>
    <x v="3"/>
    <n v="3"/>
    <n v="7709"/>
    <n v="23127"/>
    <x v="1"/>
    <x v="0"/>
    <s v="India"/>
    <x v="3"/>
    <x v="2"/>
  </r>
  <r>
    <s v="RFIN-1178"/>
    <x v="178"/>
    <x v="4"/>
    <x v="1"/>
    <x v="3"/>
    <n v="1"/>
    <n v="1569"/>
    <n v="1569"/>
    <x v="1"/>
    <x v="4"/>
    <s v="India"/>
    <x v="1"/>
    <x v="3"/>
  </r>
  <r>
    <s v="RFIN-1179"/>
    <x v="179"/>
    <x v="2"/>
    <x v="0"/>
    <x v="2"/>
    <n v="3"/>
    <n v="6442"/>
    <n v="19326"/>
    <x v="0"/>
    <x v="3"/>
    <s v="India"/>
    <x v="2"/>
    <x v="0"/>
  </r>
  <r>
    <s v="RFIN-1180"/>
    <x v="180"/>
    <x v="3"/>
    <x v="1"/>
    <x v="3"/>
    <n v="1"/>
    <n v="2895"/>
    <n v="2895"/>
    <x v="1"/>
    <x v="3"/>
    <s v="India"/>
    <x v="4"/>
    <x v="3"/>
  </r>
  <r>
    <s v="RFIN-1181"/>
    <x v="181"/>
    <x v="2"/>
    <x v="0"/>
    <x v="2"/>
    <n v="3"/>
    <n v="3733"/>
    <n v="11199"/>
    <x v="1"/>
    <x v="2"/>
    <s v="India"/>
    <x v="1"/>
    <x v="3"/>
  </r>
  <r>
    <s v="RFIN-1182"/>
    <x v="182"/>
    <x v="1"/>
    <x v="0"/>
    <x v="1"/>
    <n v="2"/>
    <n v="4863"/>
    <n v="9726"/>
    <x v="0"/>
    <x v="3"/>
    <s v="India"/>
    <x v="2"/>
    <x v="3"/>
  </r>
  <r>
    <s v="RFIN-1183"/>
    <x v="183"/>
    <x v="4"/>
    <x v="1"/>
    <x v="3"/>
    <n v="3"/>
    <n v="8455"/>
    <n v="25365"/>
    <x v="0"/>
    <x v="0"/>
    <s v="India"/>
    <x v="4"/>
    <x v="2"/>
  </r>
  <r>
    <s v="RFIN-1184"/>
    <x v="184"/>
    <x v="1"/>
    <x v="0"/>
    <x v="1"/>
    <n v="1"/>
    <n v="5014"/>
    <n v="5014"/>
    <x v="0"/>
    <x v="0"/>
    <s v="India"/>
    <x v="0"/>
    <x v="3"/>
  </r>
  <r>
    <s v="RFIN-1185"/>
    <x v="185"/>
    <x v="4"/>
    <x v="1"/>
    <x v="3"/>
    <n v="1"/>
    <n v="2686"/>
    <n v="2686"/>
    <x v="1"/>
    <x v="3"/>
    <s v="India"/>
    <x v="3"/>
    <x v="1"/>
  </r>
  <r>
    <s v="RFIN-1186"/>
    <x v="186"/>
    <x v="3"/>
    <x v="1"/>
    <x v="3"/>
    <n v="2"/>
    <n v="4009"/>
    <n v="8018"/>
    <x v="1"/>
    <x v="2"/>
    <s v="India"/>
    <x v="2"/>
    <x v="1"/>
  </r>
  <r>
    <s v="RFIN-1187"/>
    <x v="187"/>
    <x v="4"/>
    <x v="1"/>
    <x v="3"/>
    <n v="3"/>
    <n v="8806"/>
    <n v="26418"/>
    <x v="1"/>
    <x v="4"/>
    <s v="India"/>
    <x v="2"/>
    <x v="1"/>
  </r>
  <r>
    <s v="RFIN-1188"/>
    <x v="188"/>
    <x v="0"/>
    <x v="0"/>
    <x v="0"/>
    <n v="3"/>
    <n v="1154"/>
    <n v="3462"/>
    <x v="1"/>
    <x v="4"/>
    <s v="India"/>
    <x v="0"/>
    <x v="0"/>
  </r>
  <r>
    <s v="RFIN-1189"/>
    <x v="189"/>
    <x v="2"/>
    <x v="0"/>
    <x v="2"/>
    <n v="2"/>
    <n v="2409"/>
    <n v="4818"/>
    <x v="0"/>
    <x v="2"/>
    <s v="India"/>
    <x v="0"/>
    <x v="0"/>
  </r>
  <r>
    <s v="RFIN-1190"/>
    <x v="190"/>
    <x v="2"/>
    <x v="0"/>
    <x v="2"/>
    <n v="3"/>
    <n v="1784"/>
    <n v="5352"/>
    <x v="1"/>
    <x v="1"/>
    <s v="India"/>
    <x v="1"/>
    <x v="3"/>
  </r>
  <r>
    <s v="RFIN-1191"/>
    <x v="191"/>
    <x v="0"/>
    <x v="0"/>
    <x v="0"/>
    <n v="3"/>
    <n v="9096"/>
    <n v="27288"/>
    <x v="1"/>
    <x v="0"/>
    <s v="India"/>
    <x v="3"/>
    <x v="1"/>
  </r>
  <r>
    <s v="RFIN-1192"/>
    <x v="192"/>
    <x v="1"/>
    <x v="0"/>
    <x v="1"/>
    <n v="1"/>
    <n v="8560"/>
    <n v="8560"/>
    <x v="0"/>
    <x v="1"/>
    <s v="India"/>
    <x v="3"/>
    <x v="2"/>
  </r>
  <r>
    <s v="RFIN-1193"/>
    <x v="193"/>
    <x v="0"/>
    <x v="0"/>
    <x v="0"/>
    <n v="3"/>
    <n v="8343"/>
    <n v="25029"/>
    <x v="0"/>
    <x v="2"/>
    <s v="India"/>
    <x v="2"/>
    <x v="1"/>
  </r>
  <r>
    <s v="RFIN-1194"/>
    <x v="194"/>
    <x v="3"/>
    <x v="1"/>
    <x v="3"/>
    <n v="3"/>
    <n v="8206"/>
    <n v="24618"/>
    <x v="0"/>
    <x v="1"/>
    <s v="India"/>
    <x v="0"/>
    <x v="1"/>
  </r>
  <r>
    <s v="RFIN-1195"/>
    <x v="195"/>
    <x v="3"/>
    <x v="1"/>
    <x v="3"/>
    <n v="2"/>
    <n v="6596"/>
    <n v="13192"/>
    <x v="1"/>
    <x v="2"/>
    <s v="India"/>
    <x v="3"/>
    <x v="0"/>
  </r>
  <r>
    <s v="RFIN-1196"/>
    <x v="196"/>
    <x v="2"/>
    <x v="0"/>
    <x v="2"/>
    <n v="2"/>
    <n v="6801"/>
    <n v="13602"/>
    <x v="0"/>
    <x v="4"/>
    <s v="India"/>
    <x v="4"/>
    <x v="0"/>
  </r>
  <r>
    <s v="RFIN-1197"/>
    <x v="197"/>
    <x v="3"/>
    <x v="1"/>
    <x v="3"/>
    <n v="4"/>
    <n v="3806"/>
    <n v="15224"/>
    <x v="1"/>
    <x v="4"/>
    <s v="India"/>
    <x v="3"/>
    <x v="2"/>
  </r>
  <r>
    <s v="RFIN-1198"/>
    <x v="198"/>
    <x v="2"/>
    <x v="0"/>
    <x v="2"/>
    <n v="1"/>
    <n v="1537"/>
    <n v="1537"/>
    <x v="0"/>
    <x v="1"/>
    <s v="India"/>
    <x v="2"/>
    <x v="0"/>
  </r>
  <r>
    <s v="RFIN-1199"/>
    <x v="199"/>
    <x v="0"/>
    <x v="0"/>
    <x v="0"/>
    <n v="3"/>
    <n v="6986"/>
    <n v="20958"/>
    <x v="0"/>
    <x v="1"/>
    <s v="India"/>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FE8DA2-A02E-4B78-8884-4576B32FBDC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4:H10" firstHeaderRow="1" firstDataRow="1" firstDataCol="1"/>
  <pivotFields count="15">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3">
        <item x="0"/>
        <item x="1"/>
        <item t="default"/>
      </items>
    </pivotField>
    <pivotField showAll="0">
      <items count="5">
        <item x="1"/>
        <item x="2"/>
        <item x="0"/>
        <item x="3"/>
        <item t="default"/>
      </items>
    </pivotField>
    <pivotField showAll="0"/>
    <pivotField showAll="0"/>
    <pivotField dataField="1" showAll="0"/>
    <pivotField showAll="0">
      <items count="3">
        <item x="0"/>
        <item x="1"/>
        <item t="default"/>
      </items>
    </pivotField>
    <pivotField axis="axisRow" showAll="0">
      <items count="6">
        <item x="4"/>
        <item x="2"/>
        <item x="0"/>
        <item x="1"/>
        <item x="3"/>
        <item t="default"/>
      </items>
    </pivotField>
    <pivotField showAll="0"/>
    <pivotField showAll="0">
      <items count="6">
        <item x="2"/>
        <item x="4"/>
        <item x="1"/>
        <item x="0"/>
        <item x="3"/>
        <item t="default"/>
      </items>
    </pivotField>
    <pivotField showAll="0">
      <items count="5">
        <item x="1"/>
        <item x="2"/>
        <item x="3"/>
        <item x="0"/>
        <item t="default"/>
      </items>
    </pivotField>
    <pivotField showAll="0" defaultSubtotal="0"/>
    <pivotField showAll="0" defaultSubtotal="0">
      <items count="3">
        <item x="0"/>
        <item x="1"/>
        <item x="2"/>
      </items>
    </pivotField>
  </pivotFields>
  <rowFields count="1">
    <field x="9"/>
  </rowFields>
  <rowItems count="6">
    <i>
      <x/>
    </i>
    <i>
      <x v="1"/>
    </i>
    <i>
      <x v="2"/>
    </i>
    <i>
      <x v="3"/>
    </i>
    <i>
      <x v="4"/>
    </i>
    <i t="grand">
      <x/>
    </i>
  </rowItems>
  <colItems count="1">
    <i/>
  </colItems>
  <dataFields count="1">
    <dataField name="Sum of TotalSales" fld="7"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81019-ECE2-4C85-BCAB-C9FFA07B0D2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4:E10" firstHeaderRow="1" firstDataRow="1" firstDataCol="1"/>
  <pivotFields count="15">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6">
        <item x="1"/>
        <item x="2"/>
        <item x="4"/>
        <item x="0"/>
        <item x="3"/>
        <item t="default"/>
      </items>
    </pivotField>
    <pivotField showAll="0"/>
    <pivotField showAll="0">
      <items count="5">
        <item x="1"/>
        <item x="2"/>
        <item x="0"/>
        <item x="3"/>
        <item t="default"/>
      </items>
    </pivotField>
    <pivotField showAll="0"/>
    <pivotField showAll="0"/>
    <pivotField dataField="1" showAll="0"/>
    <pivotField showAll="0">
      <items count="3">
        <item x="0"/>
        <item x="1"/>
        <item t="default"/>
      </items>
    </pivotField>
    <pivotField showAll="0">
      <items count="6">
        <item x="4"/>
        <item x="2"/>
        <item x="0"/>
        <item x="1"/>
        <item x="3"/>
        <item t="default"/>
      </items>
    </pivotField>
    <pivotField showAll="0"/>
    <pivotField showAll="0">
      <items count="6">
        <item x="2"/>
        <item x="4"/>
        <item x="1"/>
        <item x="0"/>
        <item x="3"/>
        <item t="default"/>
      </items>
    </pivotField>
    <pivotField showAll="0">
      <items count="5">
        <item x="1"/>
        <item x="2"/>
        <item x="3"/>
        <item x="0"/>
        <item t="default"/>
      </items>
    </pivotField>
    <pivotField showAll="0" defaultSubtotal="0"/>
    <pivotField showAll="0" defaultSubtotal="0">
      <items count="3">
        <item x="0"/>
        <item x="1"/>
        <item x="2"/>
      </items>
    </pivotField>
  </pivotFields>
  <rowFields count="1">
    <field x="2"/>
  </rowFields>
  <rowItems count="6">
    <i>
      <x/>
    </i>
    <i>
      <x v="1"/>
    </i>
    <i>
      <x v="2"/>
    </i>
    <i>
      <x v="3"/>
    </i>
    <i>
      <x v="4"/>
    </i>
    <i t="grand">
      <x/>
    </i>
  </rowItems>
  <colItems count="1">
    <i/>
  </colItems>
  <dataFields count="1">
    <dataField name="Sum of TotalSales" fld="7" baseField="0" baseItem="0"/>
  </dataFields>
  <chartFormats count="7">
    <chartFormat chart="0" format="0"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2" count="1" selected="0">
            <x v="0"/>
          </reference>
        </references>
      </pivotArea>
    </chartFormat>
    <chartFormat chart="8" format="21">
      <pivotArea type="data" outline="0" fieldPosition="0">
        <references count="2">
          <reference field="4294967294" count="1" selected="0">
            <x v="0"/>
          </reference>
          <reference field="2" count="1" selected="0">
            <x v="1"/>
          </reference>
        </references>
      </pivotArea>
    </chartFormat>
    <chartFormat chart="8" format="22">
      <pivotArea type="data" outline="0" fieldPosition="0">
        <references count="2">
          <reference field="4294967294" count="1" selected="0">
            <x v="0"/>
          </reference>
          <reference field="2" count="1" selected="0">
            <x v="2"/>
          </reference>
        </references>
      </pivotArea>
    </chartFormat>
    <chartFormat chart="8" format="23">
      <pivotArea type="data" outline="0" fieldPosition="0">
        <references count="2">
          <reference field="4294967294" count="1" selected="0">
            <x v="0"/>
          </reference>
          <reference field="2" count="1" selected="0">
            <x v="3"/>
          </reference>
        </references>
      </pivotArea>
    </chartFormat>
    <chartFormat chart="8"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DC9360-1F2D-45DF-95A7-7382045182E7}"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6">
  <location ref="A4:B13" firstHeaderRow="1" firstDataRow="1" firstDataCol="1"/>
  <pivotFields count="15">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items count="5">
        <item x="1"/>
        <item x="2"/>
        <item x="0"/>
        <item x="3"/>
        <item t="default"/>
      </items>
    </pivotField>
    <pivotField showAll="0"/>
    <pivotField showAll="0"/>
    <pivotField dataField="1" showAll="0"/>
    <pivotField showAll="0">
      <items count="3">
        <item x="0"/>
        <item x="1"/>
        <item t="default"/>
      </items>
    </pivotField>
    <pivotField showAll="0">
      <items count="6">
        <item x="4"/>
        <item x="2"/>
        <item x="0"/>
        <item x="1"/>
        <item x="3"/>
        <item t="default"/>
      </items>
    </pivotField>
    <pivotField showAll="0"/>
    <pivotField showAll="0">
      <items count="6">
        <item x="2"/>
        <item x="4"/>
        <item x="1"/>
        <item x="0"/>
        <item x="3"/>
        <item t="default"/>
      </items>
    </pivotField>
    <pivotField showAll="0">
      <items count="5">
        <item x="1"/>
        <item x="2"/>
        <item x="3"/>
        <item x="0"/>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4"/>
    <field x="13"/>
  </rowFields>
  <rowItems count="9">
    <i>
      <x v="1"/>
    </i>
    <i r="1">
      <x v="1"/>
    </i>
    <i r="1">
      <x v="2"/>
    </i>
    <i r="1">
      <x v="3"/>
    </i>
    <i r="1">
      <x v="4"/>
    </i>
    <i r="1">
      <x v="5"/>
    </i>
    <i r="1">
      <x v="6"/>
    </i>
    <i r="1">
      <x v="7"/>
    </i>
    <i t="grand">
      <x/>
    </i>
  </rowItems>
  <colItems count="1">
    <i/>
  </colItems>
  <dataFields count="1">
    <dataField name="Sum of TotalSales" fld="7"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3">
          <reference field="4294967294" count="1" selected="0">
            <x v="0"/>
          </reference>
          <reference field="13" count="1" selected="0">
            <x v="2"/>
          </reference>
          <reference field="14" count="1" selected="0">
            <x v="1"/>
          </reference>
        </references>
      </pivotArea>
    </chartFormat>
    <chartFormat chart="5" format="6" series="1">
      <pivotArea type="data" outline="0" fieldPosition="0">
        <references count="3">
          <reference field="4294967294" count="1" selected="0">
            <x v="0"/>
          </reference>
          <reference field="13" count="1" selected="0">
            <x v="3"/>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02CA1A-7DA5-4136-921E-1D0734E9EE3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4:K10" firstHeaderRow="1" firstDataRow="1" firstDataCol="1"/>
  <pivotFields count="15">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items count="5">
        <item x="1"/>
        <item x="2"/>
        <item x="0"/>
        <item x="3"/>
        <item t="default"/>
      </items>
    </pivotField>
    <pivotField showAll="0"/>
    <pivotField showAll="0"/>
    <pivotField dataField="1" showAll="0"/>
    <pivotField showAll="0">
      <items count="3">
        <item x="0"/>
        <item x="1"/>
        <item t="default"/>
      </items>
    </pivotField>
    <pivotField showAll="0">
      <items count="6">
        <item x="4"/>
        <item x="2"/>
        <item x="0"/>
        <item x="1"/>
        <item x="3"/>
        <item t="default"/>
      </items>
    </pivotField>
    <pivotField showAll="0"/>
    <pivotField axis="axisRow" showAll="0">
      <items count="6">
        <item x="2"/>
        <item x="4"/>
        <item x="1"/>
        <item x="0"/>
        <item x="3"/>
        <item t="default"/>
      </items>
    </pivotField>
    <pivotField showAll="0">
      <items count="5">
        <item x="1"/>
        <item x="2"/>
        <item x="3"/>
        <item x="0"/>
        <item t="default"/>
      </items>
    </pivotField>
    <pivotField showAll="0" defaultSubtotal="0"/>
    <pivotField showAll="0" defaultSubtotal="0">
      <items count="3">
        <item x="0"/>
        <item x="1"/>
        <item x="2"/>
      </items>
    </pivotField>
  </pivotFields>
  <rowFields count="1">
    <field x="11"/>
  </rowFields>
  <rowItems count="6">
    <i>
      <x/>
    </i>
    <i>
      <x v="1"/>
    </i>
    <i>
      <x v="2"/>
    </i>
    <i>
      <x v="3"/>
    </i>
    <i>
      <x v="4"/>
    </i>
    <i t="grand">
      <x/>
    </i>
  </rowItems>
  <colItems count="1">
    <i/>
  </colItems>
  <dataFields count="1">
    <dataField name="Sum of TotalSales" fld="7" showDataAs="percentOfTotal" baseField="11" baseItem="0" numFmtId="10"/>
  </dataFields>
  <chartFormats count="2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2" format="4">
      <pivotArea type="data" outline="0" fieldPosition="0">
        <references count="2">
          <reference field="4294967294" count="1" selected="0">
            <x v="0"/>
          </reference>
          <reference field="11" count="1" selected="0">
            <x v="2"/>
          </reference>
        </references>
      </pivotArea>
    </chartFormat>
    <chartFormat chart="2" format="5">
      <pivotArea type="data" outline="0" fieldPosition="0">
        <references count="2">
          <reference field="4294967294" count="1" selected="0">
            <x v="0"/>
          </reference>
          <reference field="11" count="1" selected="0">
            <x v="3"/>
          </reference>
        </references>
      </pivotArea>
    </chartFormat>
    <chartFormat chart="2" format="6">
      <pivotArea type="data" outline="0" fieldPosition="0">
        <references count="2">
          <reference field="4294967294" count="1" selected="0">
            <x v="0"/>
          </reference>
          <reference field="1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1" count="1" selected="0">
            <x v="0"/>
          </reference>
        </references>
      </pivotArea>
    </chartFormat>
    <chartFormat chart="4" format="15">
      <pivotArea type="data" outline="0" fieldPosition="0">
        <references count="2">
          <reference field="4294967294" count="1" selected="0">
            <x v="0"/>
          </reference>
          <reference field="11" count="1" selected="0">
            <x v="1"/>
          </reference>
        </references>
      </pivotArea>
    </chartFormat>
    <chartFormat chart="4" format="16">
      <pivotArea type="data" outline="0" fieldPosition="0">
        <references count="2">
          <reference field="4294967294" count="1" selected="0">
            <x v="0"/>
          </reference>
          <reference field="11" count="1" selected="0">
            <x v="2"/>
          </reference>
        </references>
      </pivotArea>
    </chartFormat>
    <chartFormat chart="4" format="17">
      <pivotArea type="data" outline="0" fieldPosition="0">
        <references count="2">
          <reference field="4294967294" count="1" selected="0">
            <x v="0"/>
          </reference>
          <reference field="11" count="1" selected="0">
            <x v="3"/>
          </reference>
        </references>
      </pivotArea>
    </chartFormat>
    <chartFormat chart="4" format="18">
      <pivotArea type="data" outline="0" fieldPosition="0">
        <references count="2">
          <reference field="4294967294" count="1" selected="0">
            <x v="0"/>
          </reference>
          <reference field="11" count="1" selected="0">
            <x v="4"/>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1" count="1" selected="0">
            <x v="0"/>
          </reference>
        </references>
      </pivotArea>
    </chartFormat>
    <chartFormat chart="5" format="21">
      <pivotArea type="data" outline="0" fieldPosition="0">
        <references count="2">
          <reference field="4294967294" count="1" selected="0">
            <x v="0"/>
          </reference>
          <reference field="11" count="1" selected="0">
            <x v="1"/>
          </reference>
        </references>
      </pivotArea>
    </chartFormat>
    <chartFormat chart="5" format="22">
      <pivotArea type="data" outline="0" fieldPosition="0">
        <references count="2">
          <reference field="4294967294" count="1" selected="0">
            <x v="0"/>
          </reference>
          <reference field="11" count="1" selected="0">
            <x v="2"/>
          </reference>
        </references>
      </pivotArea>
    </chartFormat>
    <chartFormat chart="5" format="23">
      <pivotArea type="data" outline="0" fieldPosition="0">
        <references count="2">
          <reference field="4294967294" count="1" selected="0">
            <x v="0"/>
          </reference>
          <reference field="11" count="1" selected="0">
            <x v="3"/>
          </reference>
        </references>
      </pivotArea>
    </chartFormat>
    <chartFormat chart="5" format="2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684B1B7D-BC29-475C-80AC-B123D16650AE}" sourceName="SubCategory">
  <pivotTables>
    <pivotTable tabId="2" name="PivotTable6"/>
    <pivotTable tabId="2" name="PivotTable4"/>
    <pivotTable tabId="2" name="PivotTable5"/>
    <pivotTable tabId="2" name="PivotTable7"/>
  </pivotTables>
  <data>
    <tabular pivotCacheId="185672526">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7C5106-680C-49C5-AEEC-BD9FC04639A3}" sourceName="Region">
  <pivotTables>
    <pivotTable tabId="2" name="PivotTable6"/>
    <pivotTable tabId="2" name="PivotTable4"/>
    <pivotTable tabId="2" name="PivotTable5"/>
    <pivotTable tabId="2" name="PivotTable7"/>
  </pivotTables>
  <data>
    <tabular pivotCacheId="185672526">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D8C5579-0A55-4E1E-9DC9-5A61F4186E3B}" sourceName="Branch">
  <pivotTables>
    <pivotTable tabId="2" name="PivotTable6"/>
    <pivotTable tabId="2" name="PivotTable4"/>
    <pivotTable tabId="2" name="PivotTable5"/>
    <pivotTable tabId="2" name="PivotTable7"/>
  </pivotTables>
  <data>
    <tabular pivotCacheId="185672526">
      <items count="5">
        <i x="2" s="1"/>
        <i x="4"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E08E9F6A-6C8F-484D-9264-16CA67788466}" sourceName="PaymentMode">
  <pivotTables>
    <pivotTable tabId="2" name="PivotTable6"/>
    <pivotTable tabId="2" name="PivotTable4"/>
    <pivotTable tabId="2" name="PivotTable5"/>
    <pivotTable tabId="2" name="PivotTable7"/>
  </pivotTables>
  <data>
    <tabular pivotCacheId="185672526">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3C601A-F91B-423D-AACC-662C729988F9}" sourceName="Gender">
  <pivotTables>
    <pivotTable tabId="2" name="PivotTable6"/>
    <pivotTable tabId="2" name="PivotTable4"/>
    <pivotTable tabId="2" name="PivotTable5"/>
    <pivotTable tabId="2" name="PivotTable7"/>
  </pivotTables>
  <data>
    <tabular pivotCacheId="1856725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F2C55A67-385A-49E1-B579-55995EF19EBA}" cache="Slicer_SubCategory" caption="SubCategory" columnCount="2" style="SlicerStyleDark1" rowHeight="432000"/>
  <slicer name="Region" xr10:uid="{3906CECE-4C30-4A7B-8262-208D2D48E414}" cache="Slicer_Region" caption="Region" columnCount="2" style="SlicerStyleDark1" rowHeight="288000"/>
  <slicer name="Branch" xr10:uid="{C1BFE696-00D3-45F6-97FB-8310A27DA7A8}" cache="Slicer_Branch" caption="Branch" columnCount="4" style="SlicerStyleDark1" rowHeight="247650"/>
  <slicer name="PaymentMode" xr10:uid="{B55C1617-A042-4960-8109-5A2772E08732}" cache="Slicer_PaymentMode" caption="PaymentMode" columnCount="2" style="SlicerStyleDark1" rowHeight="288000"/>
  <slicer name="Gender" xr10:uid="{0695606B-B652-455E-9130-3F7275B93C97}" cache="Slicer_Gender" caption="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69734B-42D5-4F7D-B0F6-20151B405AB9}" name="Table1" displayName="Table1" ref="A1:N201" totalsRowShown="0">
  <autoFilter ref="A1:N201" xr:uid="{9D69734B-42D5-4F7D-B0F6-20151B405AB9}"/>
  <tableColumns count="14">
    <tableColumn id="1" xr3:uid="{95FCB713-57D4-4EEE-B7B7-5675F16194E2}" name="OrderID"/>
    <tableColumn id="2" xr3:uid="{495E1AC0-5A0B-4A58-A994-FD475B93C268}" name="OrderDate" dataDxfId="1"/>
    <tableColumn id="3" xr3:uid="{C9EC4F8C-F919-46C1-A207-B5A5C58A5600}" name="ProductName"/>
    <tableColumn id="4" xr3:uid="{56C57CC4-668B-4461-B416-D14C9DC3893B}" name="Category"/>
    <tableColumn id="5" xr3:uid="{FD66B125-1748-4A1B-99B0-B162C5050E55}" name="SubCategory"/>
    <tableColumn id="6" xr3:uid="{BF61288B-EC3C-4859-BB4E-7DD0B84BF696}" name="Quantity"/>
    <tableColumn id="7" xr3:uid="{0920D88D-7F83-46B3-A744-F2D66B70F6B0}" name="UnitPrice"/>
    <tableColumn id="8" xr3:uid="{3322AB57-10C5-4E06-9A28-B2AAFAA0DEBF}" name="TotalSales"/>
    <tableColumn id="10" xr3:uid="{AE206F01-4D39-4DD1-8850-9BC06620F3D3}" name="Gender"/>
    <tableColumn id="11" xr3:uid="{B287966C-2085-4E64-8FAF-427CC5DDFF5D}" name="Region"/>
    <tableColumn id="12" xr3:uid="{54850D83-8C8E-4BCC-8336-868394F4D6BE}" name="Country"/>
    <tableColumn id="13" xr3:uid="{618DFE89-AF26-40CB-9E2B-52A2D2663742}" name="Branch"/>
    <tableColumn id="14" xr3:uid="{9D35CCC2-AC26-4C36-B981-3C11A27C7653}" name="PaymentMode"/>
    <tableColumn id="9" xr3:uid="{F1C79597-9306-4D58-9D22-5A707A646D5F}" name="Sales Status" dataDxfId="0">
      <calculatedColumnFormula>IF(H2&gt;=10000,"High Sales","Low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DE3E6737-EC87-4A1C-A887-E2F0D403BF55}" sourceName="OrderDate">
  <pivotTables>
    <pivotTable tabId="2" name="PivotTable5"/>
    <pivotTable tabId="2" name="PivotTable4"/>
    <pivotTable tabId="2" name="PivotTable6"/>
    <pivotTable tabId="2" name="PivotTable7"/>
  </pivotTables>
  <state minimalRefreshVersion="6" lastRefreshVersion="6" pivotCacheId="18567252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DF39840-32D0-4F26-BBF8-7D4759D60A8A}" cache="NativeTimeline_OrderDate" caption="OrderDate"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13136-F19E-4496-B432-DF3B5806F47D}">
  <dimension ref="A1:V201"/>
  <sheetViews>
    <sheetView zoomScale="72" workbookViewId="0">
      <selection activeCell="L4" sqref="L4"/>
    </sheetView>
  </sheetViews>
  <sheetFormatPr defaultRowHeight="14.4" x14ac:dyDescent="0.3"/>
  <cols>
    <col min="1" max="1" width="9.5546875" bestFit="1" customWidth="1"/>
    <col min="2" max="2" width="11.5546875" customWidth="1"/>
    <col min="3" max="3" width="14.44140625" customWidth="1"/>
    <col min="4" max="4" width="11.109375" bestFit="1" customWidth="1"/>
    <col min="5" max="5" width="14.33203125" bestFit="1" customWidth="1"/>
    <col min="6" max="6" width="10.77734375" bestFit="1" customWidth="1"/>
    <col min="7" max="7" width="10.6640625" customWidth="1"/>
    <col min="8" max="8" width="11.5546875" customWidth="1"/>
    <col min="9" max="9" width="9" customWidth="1"/>
    <col min="11" max="11" width="9.33203125" customWidth="1"/>
    <col min="13" max="13" width="14.77734375" customWidth="1"/>
    <col min="14" max="15" width="15.44140625" customWidth="1"/>
    <col min="16" max="16" width="17.77734375" customWidth="1"/>
    <col min="17" max="17" width="12.77734375" customWidth="1"/>
    <col min="18" max="18" width="13.21875" customWidth="1"/>
    <col min="20" max="20" width="13.33203125" customWidth="1"/>
    <col min="21" max="21" width="14" customWidth="1"/>
  </cols>
  <sheetData>
    <row r="1" spans="1:22" x14ac:dyDescent="0.3">
      <c r="A1" t="s">
        <v>0</v>
      </c>
      <c r="B1" t="s">
        <v>1</v>
      </c>
      <c r="C1" t="s">
        <v>2</v>
      </c>
      <c r="D1" t="s">
        <v>3</v>
      </c>
      <c r="E1" t="s">
        <v>4</v>
      </c>
      <c r="F1" t="s">
        <v>5</v>
      </c>
      <c r="G1" t="s">
        <v>6</v>
      </c>
      <c r="H1" t="s">
        <v>7</v>
      </c>
      <c r="I1" t="s">
        <v>8</v>
      </c>
      <c r="J1" t="s">
        <v>9</v>
      </c>
      <c r="K1" t="s">
        <v>10</v>
      </c>
      <c r="L1" t="s">
        <v>11</v>
      </c>
      <c r="M1" t="s">
        <v>12</v>
      </c>
      <c r="N1" s="41" t="s">
        <v>261</v>
      </c>
    </row>
    <row r="2" spans="1:22" x14ac:dyDescent="0.3">
      <c r="A2" t="s">
        <v>13</v>
      </c>
      <c r="B2" s="1">
        <v>44927</v>
      </c>
      <c r="C2" t="s">
        <v>14</v>
      </c>
      <c r="D2" t="s">
        <v>15</v>
      </c>
      <c r="E2" t="s">
        <v>14</v>
      </c>
      <c r="F2">
        <v>3</v>
      </c>
      <c r="G2">
        <v>1863</v>
      </c>
      <c r="H2">
        <v>5589</v>
      </c>
      <c r="I2" t="s">
        <v>16</v>
      </c>
      <c r="J2" t="s">
        <v>17</v>
      </c>
      <c r="K2" t="s">
        <v>18</v>
      </c>
      <c r="L2" t="s">
        <v>19</v>
      </c>
      <c r="M2" t="s">
        <v>20</v>
      </c>
      <c r="N2" t="str">
        <f t="shared" ref="N2:N33" si="0">IF(H2&gt;=10000,"High Sales","Low Sales")</f>
        <v>Low Sales</v>
      </c>
      <c r="P2" s="4" t="s">
        <v>237</v>
      </c>
      <c r="Q2" s="2">
        <f>SUM(TotalSales)</f>
        <v>2819103</v>
      </c>
    </row>
    <row r="3" spans="1:22" x14ac:dyDescent="0.3">
      <c r="A3" t="s">
        <v>21</v>
      </c>
      <c r="B3" s="1">
        <v>44928</v>
      </c>
      <c r="C3" t="s">
        <v>14</v>
      </c>
      <c r="D3" t="s">
        <v>15</v>
      </c>
      <c r="E3" t="s">
        <v>14</v>
      </c>
      <c r="F3">
        <v>4</v>
      </c>
      <c r="G3">
        <v>3790</v>
      </c>
      <c r="H3">
        <v>15160</v>
      </c>
      <c r="I3" t="s">
        <v>16</v>
      </c>
      <c r="J3" t="s">
        <v>22</v>
      </c>
      <c r="K3" t="s">
        <v>18</v>
      </c>
      <c r="L3" t="s">
        <v>23</v>
      </c>
      <c r="M3" t="s">
        <v>24</v>
      </c>
      <c r="N3" t="str">
        <f t="shared" si="0"/>
        <v>High Sales</v>
      </c>
      <c r="P3" s="4" t="s">
        <v>238</v>
      </c>
      <c r="Q3" s="2">
        <f>COUNTA(OrderID)</f>
        <v>200</v>
      </c>
    </row>
    <row r="4" spans="1:22" x14ac:dyDescent="0.3">
      <c r="A4" t="s">
        <v>25</v>
      </c>
      <c r="B4" s="1">
        <v>44929</v>
      </c>
      <c r="C4" t="s">
        <v>26</v>
      </c>
      <c r="D4" t="s">
        <v>15</v>
      </c>
      <c r="E4" t="s">
        <v>26</v>
      </c>
      <c r="F4">
        <v>1</v>
      </c>
      <c r="G4">
        <v>8408</v>
      </c>
      <c r="H4">
        <v>8408</v>
      </c>
      <c r="I4" t="s">
        <v>16</v>
      </c>
      <c r="J4" t="s">
        <v>27</v>
      </c>
      <c r="K4" t="s">
        <v>18</v>
      </c>
      <c r="L4" t="s">
        <v>19</v>
      </c>
      <c r="M4" t="s">
        <v>28</v>
      </c>
      <c r="N4" t="str">
        <f t="shared" si="0"/>
        <v>Low Sales</v>
      </c>
      <c r="P4" s="4" t="s">
        <v>239</v>
      </c>
      <c r="Q4" s="2">
        <f>SUM(Quantity)</f>
        <v>516</v>
      </c>
    </row>
    <row r="5" spans="1:22" x14ac:dyDescent="0.3">
      <c r="A5" t="s">
        <v>29</v>
      </c>
      <c r="B5" s="1">
        <v>44930</v>
      </c>
      <c r="C5" t="s">
        <v>30</v>
      </c>
      <c r="D5" t="s">
        <v>15</v>
      </c>
      <c r="E5" t="s">
        <v>30</v>
      </c>
      <c r="F5">
        <v>3</v>
      </c>
      <c r="G5">
        <v>9755</v>
      </c>
      <c r="H5">
        <v>29265</v>
      </c>
      <c r="I5" t="s">
        <v>16</v>
      </c>
      <c r="J5" t="s">
        <v>22</v>
      </c>
      <c r="K5" t="s">
        <v>18</v>
      </c>
      <c r="L5" t="s">
        <v>23</v>
      </c>
      <c r="M5" t="s">
        <v>28</v>
      </c>
      <c r="N5" t="str">
        <f t="shared" si="0"/>
        <v>High Sales</v>
      </c>
    </row>
    <row r="6" spans="1:22" x14ac:dyDescent="0.3">
      <c r="A6" t="s">
        <v>31</v>
      </c>
      <c r="B6" s="1">
        <v>44931</v>
      </c>
      <c r="C6" t="s">
        <v>30</v>
      </c>
      <c r="D6" t="s">
        <v>15</v>
      </c>
      <c r="E6" t="s">
        <v>30</v>
      </c>
      <c r="F6">
        <v>3</v>
      </c>
      <c r="G6">
        <v>6116</v>
      </c>
      <c r="H6">
        <v>18348</v>
      </c>
      <c r="I6" t="s">
        <v>32</v>
      </c>
      <c r="J6" t="s">
        <v>33</v>
      </c>
      <c r="K6" t="s">
        <v>18</v>
      </c>
      <c r="L6" t="s">
        <v>34</v>
      </c>
      <c r="M6" t="s">
        <v>24</v>
      </c>
      <c r="N6" t="str">
        <f t="shared" si="0"/>
        <v>High Sales</v>
      </c>
      <c r="P6" s="3" t="s">
        <v>240</v>
      </c>
    </row>
    <row r="7" spans="1:22" x14ac:dyDescent="0.3">
      <c r="A7" t="s">
        <v>35</v>
      </c>
      <c r="B7" s="1">
        <v>44932</v>
      </c>
      <c r="C7" t="s">
        <v>30</v>
      </c>
      <c r="D7" t="s">
        <v>15</v>
      </c>
      <c r="E7" t="s">
        <v>30</v>
      </c>
      <c r="F7">
        <v>4</v>
      </c>
      <c r="G7">
        <v>7019</v>
      </c>
      <c r="H7">
        <v>28076</v>
      </c>
      <c r="I7" t="s">
        <v>16</v>
      </c>
      <c r="J7" t="s">
        <v>22</v>
      </c>
      <c r="K7" t="s">
        <v>18</v>
      </c>
      <c r="L7" t="s">
        <v>19</v>
      </c>
      <c r="M7" t="s">
        <v>24</v>
      </c>
      <c r="N7" t="str">
        <f t="shared" si="0"/>
        <v>High Sales</v>
      </c>
      <c r="P7">
        <f>SUM(TotalSales)/COUNTA(OrderID)</f>
        <v>14095.514999999999</v>
      </c>
    </row>
    <row r="8" spans="1:22" x14ac:dyDescent="0.3">
      <c r="A8" t="s">
        <v>36</v>
      </c>
      <c r="B8" s="1">
        <v>44933</v>
      </c>
      <c r="C8" t="s">
        <v>14</v>
      </c>
      <c r="D8" t="s">
        <v>15</v>
      </c>
      <c r="E8" t="s">
        <v>14</v>
      </c>
      <c r="F8">
        <v>1</v>
      </c>
      <c r="G8">
        <v>2757</v>
      </c>
      <c r="H8">
        <v>2757</v>
      </c>
      <c r="I8" t="s">
        <v>32</v>
      </c>
      <c r="J8" t="s">
        <v>33</v>
      </c>
      <c r="K8" t="s">
        <v>18</v>
      </c>
      <c r="L8" t="s">
        <v>23</v>
      </c>
      <c r="M8" t="s">
        <v>24</v>
      </c>
      <c r="N8" t="str">
        <f t="shared" si="0"/>
        <v>Low Sales</v>
      </c>
    </row>
    <row r="9" spans="1:22" x14ac:dyDescent="0.3">
      <c r="A9" t="s">
        <v>37</v>
      </c>
      <c r="B9" s="1">
        <v>44934</v>
      </c>
      <c r="C9" t="s">
        <v>38</v>
      </c>
      <c r="D9" t="s">
        <v>39</v>
      </c>
      <c r="E9" t="s">
        <v>39</v>
      </c>
      <c r="F9">
        <v>1</v>
      </c>
      <c r="G9">
        <v>8574</v>
      </c>
      <c r="H9">
        <v>8574</v>
      </c>
      <c r="I9" t="s">
        <v>16</v>
      </c>
      <c r="J9" t="s">
        <v>40</v>
      </c>
      <c r="K9" t="s">
        <v>18</v>
      </c>
      <c r="L9" t="s">
        <v>41</v>
      </c>
      <c r="M9" t="s">
        <v>28</v>
      </c>
      <c r="N9" t="str">
        <f t="shared" si="0"/>
        <v>Low Sales</v>
      </c>
      <c r="P9" s="3" t="s">
        <v>241</v>
      </c>
    </row>
    <row r="10" spans="1:22" x14ac:dyDescent="0.3">
      <c r="A10" t="s">
        <v>42</v>
      </c>
      <c r="B10" s="1">
        <v>44935</v>
      </c>
      <c r="C10" t="s">
        <v>14</v>
      </c>
      <c r="D10" t="s">
        <v>15</v>
      </c>
      <c r="E10" t="s">
        <v>14</v>
      </c>
      <c r="F10">
        <v>3</v>
      </c>
      <c r="G10">
        <v>7374</v>
      </c>
      <c r="H10">
        <v>22122</v>
      </c>
      <c r="I10" t="s">
        <v>32</v>
      </c>
      <c r="J10" t="s">
        <v>27</v>
      </c>
      <c r="K10" t="s">
        <v>18</v>
      </c>
      <c r="L10" t="s">
        <v>43</v>
      </c>
      <c r="M10" t="s">
        <v>24</v>
      </c>
      <c r="N10" t="str">
        <f t="shared" si="0"/>
        <v>High Sales</v>
      </c>
      <c r="P10">
        <f>AVERAGE(UnitPrice)</f>
        <v>5408.4250000000002</v>
      </c>
    </row>
    <row r="11" spans="1:22" x14ac:dyDescent="0.3">
      <c r="A11" t="s">
        <v>44</v>
      </c>
      <c r="B11" s="1">
        <v>44936</v>
      </c>
      <c r="C11" t="s">
        <v>38</v>
      </c>
      <c r="D11" t="s">
        <v>39</v>
      </c>
      <c r="E11" t="s">
        <v>39</v>
      </c>
      <c r="F11">
        <v>2</v>
      </c>
      <c r="G11">
        <v>7892</v>
      </c>
      <c r="H11">
        <v>15784</v>
      </c>
      <c r="I11" t="s">
        <v>16</v>
      </c>
      <c r="J11" t="s">
        <v>40</v>
      </c>
      <c r="K11" t="s">
        <v>18</v>
      </c>
      <c r="L11" t="s">
        <v>34</v>
      </c>
      <c r="M11" t="s">
        <v>24</v>
      </c>
      <c r="N11" t="str">
        <f t="shared" si="0"/>
        <v>High Sales</v>
      </c>
    </row>
    <row r="12" spans="1:22" x14ac:dyDescent="0.3">
      <c r="A12" t="s">
        <v>45</v>
      </c>
      <c r="B12" s="1">
        <v>44937</v>
      </c>
      <c r="C12" t="s">
        <v>46</v>
      </c>
      <c r="D12" t="s">
        <v>39</v>
      </c>
      <c r="E12" t="s">
        <v>39</v>
      </c>
      <c r="F12">
        <v>3</v>
      </c>
      <c r="G12">
        <v>2678</v>
      </c>
      <c r="H12">
        <v>8034</v>
      </c>
      <c r="I12" t="s">
        <v>32</v>
      </c>
      <c r="J12" t="s">
        <v>40</v>
      </c>
      <c r="K12" t="s">
        <v>18</v>
      </c>
      <c r="L12" t="s">
        <v>19</v>
      </c>
      <c r="M12" t="s">
        <v>28</v>
      </c>
      <c r="N12" t="str">
        <f t="shared" si="0"/>
        <v>Low Sales</v>
      </c>
      <c r="P12" s="33" t="s">
        <v>242</v>
      </c>
      <c r="Q12" s="34"/>
      <c r="R12" s="35"/>
      <c r="T12" s="33" t="s">
        <v>242</v>
      </c>
      <c r="U12" s="34"/>
      <c r="V12" s="35"/>
    </row>
    <row r="13" spans="1:22" x14ac:dyDescent="0.3">
      <c r="A13" t="s">
        <v>47</v>
      </c>
      <c r="B13" s="1">
        <v>44938</v>
      </c>
      <c r="C13" t="s">
        <v>14</v>
      </c>
      <c r="D13" t="s">
        <v>15</v>
      </c>
      <c r="E13" t="s">
        <v>14</v>
      </c>
      <c r="F13">
        <v>3</v>
      </c>
      <c r="G13">
        <v>4242</v>
      </c>
      <c r="H13">
        <v>12726</v>
      </c>
      <c r="I13" t="s">
        <v>32</v>
      </c>
      <c r="J13" t="s">
        <v>22</v>
      </c>
      <c r="K13" t="s">
        <v>18</v>
      </c>
      <c r="L13" t="s">
        <v>23</v>
      </c>
      <c r="M13" t="s">
        <v>28</v>
      </c>
      <c r="N13" t="str">
        <f t="shared" si="0"/>
        <v>High Sales</v>
      </c>
      <c r="P13" s="36"/>
      <c r="Q13" s="37"/>
      <c r="R13" s="38"/>
      <c r="T13" s="36"/>
      <c r="U13" s="37"/>
      <c r="V13" s="38"/>
    </row>
    <row r="14" spans="1:22" x14ac:dyDescent="0.3">
      <c r="A14" t="s">
        <v>48</v>
      </c>
      <c r="B14" s="1">
        <v>44939</v>
      </c>
      <c r="C14" t="s">
        <v>14</v>
      </c>
      <c r="D14" t="s">
        <v>15</v>
      </c>
      <c r="E14" t="s">
        <v>14</v>
      </c>
      <c r="F14">
        <v>3</v>
      </c>
      <c r="G14">
        <v>5636</v>
      </c>
      <c r="H14">
        <v>16908</v>
      </c>
      <c r="I14" t="s">
        <v>16</v>
      </c>
      <c r="J14" t="s">
        <v>22</v>
      </c>
      <c r="K14" t="s">
        <v>18</v>
      </c>
      <c r="L14" t="s">
        <v>41</v>
      </c>
      <c r="M14" t="s">
        <v>20</v>
      </c>
      <c r="N14" t="str">
        <f t="shared" si="0"/>
        <v>High Sales</v>
      </c>
      <c r="P14" s="26" t="s">
        <v>243</v>
      </c>
      <c r="Q14" s="9" t="s">
        <v>244</v>
      </c>
      <c r="R14" s="9" t="s">
        <v>245</v>
      </c>
      <c r="T14" s="4" t="s">
        <v>246</v>
      </c>
      <c r="U14" s="4" t="s">
        <v>244</v>
      </c>
      <c r="V14" s="4" t="s">
        <v>245</v>
      </c>
    </row>
    <row r="15" spans="1:22" x14ac:dyDescent="0.3">
      <c r="A15" t="s">
        <v>49</v>
      </c>
      <c r="B15" s="1">
        <v>44940</v>
      </c>
      <c r="C15" t="s">
        <v>14</v>
      </c>
      <c r="D15" t="s">
        <v>15</v>
      </c>
      <c r="E15" t="s">
        <v>14</v>
      </c>
      <c r="F15">
        <v>3</v>
      </c>
      <c r="G15">
        <v>2059</v>
      </c>
      <c r="H15">
        <v>6177</v>
      </c>
      <c r="I15" t="s">
        <v>16</v>
      </c>
      <c r="J15" t="s">
        <v>22</v>
      </c>
      <c r="K15" t="s">
        <v>18</v>
      </c>
      <c r="L15" t="s">
        <v>23</v>
      </c>
      <c r="M15" t="s">
        <v>50</v>
      </c>
      <c r="N15" t="str">
        <f t="shared" si="0"/>
        <v>Low Sales</v>
      </c>
      <c r="P15" s="16" t="s">
        <v>30</v>
      </c>
      <c r="Q15" s="5">
        <f>SUMIF(ProductName,"Equity",TotalSales)</f>
        <v>649959</v>
      </c>
      <c r="R15" s="10">
        <f>Q15/$Q$2</f>
        <v>0.2305552510851856</v>
      </c>
      <c r="T15" s="16" t="s">
        <v>17</v>
      </c>
      <c r="U15" s="16">
        <f>SUMIF(Table1[Region],"Delhi",TotalSales)</f>
        <v>609450</v>
      </c>
      <c r="V15" s="13">
        <f>U15/$Q$2</f>
        <v>0.21618578675557437</v>
      </c>
    </row>
    <row r="16" spans="1:22" x14ac:dyDescent="0.3">
      <c r="A16" t="s">
        <v>51</v>
      </c>
      <c r="B16" s="1">
        <v>44941</v>
      </c>
      <c r="C16" t="s">
        <v>30</v>
      </c>
      <c r="D16" t="s">
        <v>15</v>
      </c>
      <c r="E16" t="s">
        <v>30</v>
      </c>
      <c r="F16">
        <v>4</v>
      </c>
      <c r="G16">
        <v>7668</v>
      </c>
      <c r="H16">
        <v>30672</v>
      </c>
      <c r="I16" t="s">
        <v>32</v>
      </c>
      <c r="J16" t="s">
        <v>40</v>
      </c>
      <c r="K16" t="s">
        <v>18</v>
      </c>
      <c r="L16" t="s">
        <v>19</v>
      </c>
      <c r="M16" t="s">
        <v>28</v>
      </c>
      <c r="N16" t="str">
        <f t="shared" si="0"/>
        <v>High Sales</v>
      </c>
      <c r="P16" s="7" t="s">
        <v>14</v>
      </c>
      <c r="Q16" s="5">
        <f>SUMIF(ProductName,"Mutual Fund",TotalSales)</f>
        <v>631823</v>
      </c>
      <c r="R16" s="11">
        <f>Q16/$Q$2</f>
        <v>0.22412199908978139</v>
      </c>
      <c r="T16" s="7" t="s">
        <v>22</v>
      </c>
      <c r="U16" s="7">
        <f>SUMIF(Region,"Kolkata",TotalSales)</f>
        <v>579676</v>
      </c>
      <c r="V16" s="14">
        <f t="shared" ref="V16:V19" si="1">U16/$Q$2</f>
        <v>0.20562427126642766</v>
      </c>
    </row>
    <row r="17" spans="1:22" x14ac:dyDescent="0.3">
      <c r="A17" t="s">
        <v>52</v>
      </c>
      <c r="B17" s="1">
        <v>44942</v>
      </c>
      <c r="C17" t="s">
        <v>30</v>
      </c>
      <c r="D17" t="s">
        <v>15</v>
      </c>
      <c r="E17" t="s">
        <v>30</v>
      </c>
      <c r="F17">
        <v>1</v>
      </c>
      <c r="G17">
        <v>4157</v>
      </c>
      <c r="H17">
        <v>4157</v>
      </c>
      <c r="I17" t="s">
        <v>16</v>
      </c>
      <c r="J17" t="s">
        <v>27</v>
      </c>
      <c r="K17" t="s">
        <v>18</v>
      </c>
      <c r="L17" t="s">
        <v>23</v>
      </c>
      <c r="M17" t="s">
        <v>50</v>
      </c>
      <c r="N17" t="str">
        <f t="shared" si="0"/>
        <v>Low Sales</v>
      </c>
      <c r="P17" s="7" t="s">
        <v>38</v>
      </c>
      <c r="Q17" s="5">
        <f>SUMIF(ProductName,"Pension Plan",TotalSales)</f>
        <v>585741</v>
      </c>
      <c r="R17" s="11">
        <f>Q17/$Q$2</f>
        <v>0.20777566481253079</v>
      </c>
      <c r="T17" s="7" t="s">
        <v>33</v>
      </c>
      <c r="U17" s="7">
        <f>SUMIF(Region,"Mumbai",TotalSales)</f>
        <v>540073</v>
      </c>
      <c r="V17" s="14">
        <f t="shared" si="1"/>
        <v>0.19157618575837776</v>
      </c>
    </row>
    <row r="18" spans="1:22" x14ac:dyDescent="0.3">
      <c r="A18" t="s">
        <v>53</v>
      </c>
      <c r="B18" s="1">
        <v>44943</v>
      </c>
      <c r="C18" t="s">
        <v>38</v>
      </c>
      <c r="D18" t="s">
        <v>39</v>
      </c>
      <c r="E18" t="s">
        <v>39</v>
      </c>
      <c r="F18">
        <v>4</v>
      </c>
      <c r="G18">
        <v>6915</v>
      </c>
      <c r="H18">
        <v>27660</v>
      </c>
      <c r="I18" t="s">
        <v>16</v>
      </c>
      <c r="J18" t="s">
        <v>27</v>
      </c>
      <c r="K18" t="s">
        <v>18</v>
      </c>
      <c r="L18" t="s">
        <v>19</v>
      </c>
      <c r="M18" t="s">
        <v>20</v>
      </c>
      <c r="N18" t="str">
        <f t="shared" si="0"/>
        <v>High Sales</v>
      </c>
      <c r="P18" s="7" t="s">
        <v>46</v>
      </c>
      <c r="Q18" s="5">
        <f>SUMIF(ProductName,"Insurance",TotalSales)</f>
        <v>440358</v>
      </c>
      <c r="R18" s="11">
        <f>Q18/$Q$2</f>
        <v>0.15620500563477105</v>
      </c>
      <c r="T18" s="7" t="s">
        <v>40</v>
      </c>
      <c r="U18" s="7">
        <f>SUMIF(Region,"Bangalore",TotalSales)</f>
        <v>511209</v>
      </c>
      <c r="V18" s="14">
        <f t="shared" si="1"/>
        <v>0.18133746798183678</v>
      </c>
    </row>
    <row r="19" spans="1:22" x14ac:dyDescent="0.3">
      <c r="A19" t="s">
        <v>54</v>
      </c>
      <c r="B19" s="1">
        <v>44944</v>
      </c>
      <c r="C19" t="s">
        <v>38</v>
      </c>
      <c r="D19" t="s">
        <v>39</v>
      </c>
      <c r="E19" t="s">
        <v>39</v>
      </c>
      <c r="F19">
        <v>4</v>
      </c>
      <c r="G19">
        <v>3693</v>
      </c>
      <c r="H19">
        <v>14772</v>
      </c>
      <c r="I19" t="s">
        <v>32</v>
      </c>
      <c r="J19" t="s">
        <v>33</v>
      </c>
      <c r="K19" t="s">
        <v>18</v>
      </c>
      <c r="L19" t="s">
        <v>23</v>
      </c>
      <c r="M19" t="s">
        <v>20</v>
      </c>
      <c r="N19" t="str">
        <f t="shared" si="0"/>
        <v>High Sales</v>
      </c>
      <c r="P19" s="8" t="s">
        <v>26</v>
      </c>
      <c r="Q19" s="6">
        <f>SUMIF(ProductName,"Debt Fund",TotalSales)</f>
        <v>511222</v>
      </c>
      <c r="R19" s="12">
        <f>Q19/$Q$2</f>
        <v>0.18134207937773114</v>
      </c>
      <c r="T19" s="8" t="s">
        <v>27</v>
      </c>
      <c r="U19" s="8">
        <f>SUMIF(Region,"Chennai",TotalSales)</f>
        <v>578695</v>
      </c>
      <c r="V19" s="15">
        <f t="shared" si="1"/>
        <v>0.20527628823778343</v>
      </c>
    </row>
    <row r="20" spans="1:22" x14ac:dyDescent="0.3">
      <c r="A20" t="s">
        <v>55</v>
      </c>
      <c r="B20" s="1">
        <v>44945</v>
      </c>
      <c r="C20" t="s">
        <v>14</v>
      </c>
      <c r="D20" t="s">
        <v>15</v>
      </c>
      <c r="E20" t="s">
        <v>14</v>
      </c>
      <c r="F20">
        <v>4</v>
      </c>
      <c r="G20">
        <v>4627</v>
      </c>
      <c r="H20">
        <v>18508</v>
      </c>
      <c r="I20" t="s">
        <v>16</v>
      </c>
      <c r="J20" t="s">
        <v>17</v>
      </c>
      <c r="K20" t="s">
        <v>18</v>
      </c>
      <c r="L20" t="s">
        <v>43</v>
      </c>
      <c r="M20" t="s">
        <v>24</v>
      </c>
      <c r="N20" t="str">
        <f t="shared" si="0"/>
        <v>High Sales</v>
      </c>
    </row>
    <row r="21" spans="1:22" x14ac:dyDescent="0.3">
      <c r="A21" t="s">
        <v>56</v>
      </c>
      <c r="B21" s="1">
        <v>44946</v>
      </c>
      <c r="C21" t="s">
        <v>38</v>
      </c>
      <c r="D21" t="s">
        <v>39</v>
      </c>
      <c r="E21" t="s">
        <v>39</v>
      </c>
      <c r="F21">
        <v>3</v>
      </c>
      <c r="G21">
        <v>6450</v>
      </c>
      <c r="H21">
        <v>19350</v>
      </c>
      <c r="I21" t="s">
        <v>16</v>
      </c>
      <c r="J21" t="s">
        <v>27</v>
      </c>
      <c r="K21" t="s">
        <v>18</v>
      </c>
      <c r="L21" t="s">
        <v>19</v>
      </c>
      <c r="M21" t="s">
        <v>20</v>
      </c>
      <c r="N21" t="str">
        <f t="shared" si="0"/>
        <v>High Sales</v>
      </c>
    </row>
    <row r="22" spans="1:22" ht="14.4" customHeight="1" x14ac:dyDescent="0.3">
      <c r="A22" t="s">
        <v>57</v>
      </c>
      <c r="B22" s="1">
        <v>44947</v>
      </c>
      <c r="C22" t="s">
        <v>30</v>
      </c>
      <c r="D22" t="s">
        <v>15</v>
      </c>
      <c r="E22" t="s">
        <v>30</v>
      </c>
      <c r="F22">
        <v>2</v>
      </c>
      <c r="G22">
        <v>2663</v>
      </c>
      <c r="H22">
        <v>5326</v>
      </c>
      <c r="I22" t="s">
        <v>16</v>
      </c>
      <c r="J22" t="s">
        <v>22</v>
      </c>
      <c r="K22" t="s">
        <v>18</v>
      </c>
      <c r="L22" t="s">
        <v>19</v>
      </c>
      <c r="M22" t="s">
        <v>24</v>
      </c>
      <c r="N22" t="str">
        <f t="shared" si="0"/>
        <v>Low Sales</v>
      </c>
      <c r="P22" s="39" t="s">
        <v>247</v>
      </c>
      <c r="Q22" s="40"/>
    </row>
    <row r="23" spans="1:22" x14ac:dyDescent="0.3">
      <c r="A23" t="s">
        <v>58</v>
      </c>
      <c r="B23" s="1">
        <v>44948</v>
      </c>
      <c r="C23" t="s">
        <v>38</v>
      </c>
      <c r="D23" t="s">
        <v>39</v>
      </c>
      <c r="E23" t="s">
        <v>39</v>
      </c>
      <c r="F23">
        <v>1</v>
      </c>
      <c r="G23">
        <v>6592</v>
      </c>
      <c r="H23">
        <v>6592</v>
      </c>
      <c r="I23" t="s">
        <v>16</v>
      </c>
      <c r="J23" t="s">
        <v>33</v>
      </c>
      <c r="K23" t="s">
        <v>18</v>
      </c>
      <c r="L23" t="s">
        <v>34</v>
      </c>
      <c r="M23" t="s">
        <v>24</v>
      </c>
      <c r="N23" t="str">
        <f t="shared" si="0"/>
        <v>Low Sales</v>
      </c>
      <c r="P23" s="16" t="s">
        <v>20</v>
      </c>
      <c r="Q23" s="5">
        <f>COUNTIF(PaymentMode,"UPI")</f>
        <v>53</v>
      </c>
    </row>
    <row r="24" spans="1:22" x14ac:dyDescent="0.3">
      <c r="A24" t="s">
        <v>59</v>
      </c>
      <c r="B24" s="1">
        <v>44949</v>
      </c>
      <c r="C24" t="s">
        <v>46</v>
      </c>
      <c r="D24" t="s">
        <v>39</v>
      </c>
      <c r="E24" t="s">
        <v>39</v>
      </c>
      <c r="F24">
        <v>2</v>
      </c>
      <c r="G24">
        <v>8392</v>
      </c>
      <c r="H24">
        <v>16784</v>
      </c>
      <c r="I24" t="s">
        <v>16</v>
      </c>
      <c r="J24" t="s">
        <v>22</v>
      </c>
      <c r="K24" t="s">
        <v>18</v>
      </c>
      <c r="L24" t="s">
        <v>43</v>
      </c>
      <c r="M24" t="s">
        <v>28</v>
      </c>
      <c r="N24" t="str">
        <f t="shared" si="0"/>
        <v>High Sales</v>
      </c>
      <c r="P24" s="7" t="s">
        <v>24</v>
      </c>
      <c r="Q24" s="5">
        <f>COUNTIF(PaymentMode,"Cheque")</f>
        <v>55</v>
      </c>
    </row>
    <row r="25" spans="1:22" x14ac:dyDescent="0.3">
      <c r="A25" t="s">
        <v>60</v>
      </c>
      <c r="B25" s="1">
        <v>44950</v>
      </c>
      <c r="C25" t="s">
        <v>30</v>
      </c>
      <c r="D25" t="s">
        <v>15</v>
      </c>
      <c r="E25" t="s">
        <v>30</v>
      </c>
      <c r="F25">
        <v>4</v>
      </c>
      <c r="G25">
        <v>2306</v>
      </c>
      <c r="H25">
        <v>9224</v>
      </c>
      <c r="I25" t="s">
        <v>16</v>
      </c>
      <c r="J25" t="s">
        <v>40</v>
      </c>
      <c r="K25" t="s">
        <v>18</v>
      </c>
      <c r="L25" t="s">
        <v>19</v>
      </c>
      <c r="M25" t="s">
        <v>28</v>
      </c>
      <c r="N25" t="str">
        <f t="shared" si="0"/>
        <v>Low Sales</v>
      </c>
      <c r="P25" s="7" t="s">
        <v>28</v>
      </c>
      <c r="Q25" s="5">
        <f>COUNTIF(PaymentMode,"Credit Card")</f>
        <v>53</v>
      </c>
    </row>
    <row r="26" spans="1:22" x14ac:dyDescent="0.3">
      <c r="A26" t="s">
        <v>61</v>
      </c>
      <c r="B26" s="1">
        <v>44951</v>
      </c>
      <c r="C26" t="s">
        <v>46</v>
      </c>
      <c r="D26" t="s">
        <v>39</v>
      </c>
      <c r="E26" t="s">
        <v>39</v>
      </c>
      <c r="F26">
        <v>4</v>
      </c>
      <c r="G26">
        <v>7776</v>
      </c>
      <c r="H26">
        <v>31104</v>
      </c>
      <c r="I26" t="s">
        <v>32</v>
      </c>
      <c r="J26" t="s">
        <v>40</v>
      </c>
      <c r="K26" t="s">
        <v>18</v>
      </c>
      <c r="L26" t="s">
        <v>41</v>
      </c>
      <c r="M26" t="s">
        <v>50</v>
      </c>
      <c r="N26" t="str">
        <f t="shared" si="0"/>
        <v>High Sales</v>
      </c>
      <c r="P26" s="8" t="s">
        <v>50</v>
      </c>
      <c r="Q26" s="6">
        <f>COUNTIF(PaymentMode,"Net Banking")</f>
        <v>39</v>
      </c>
    </row>
    <row r="27" spans="1:22" x14ac:dyDescent="0.3">
      <c r="A27" t="s">
        <v>62</v>
      </c>
      <c r="B27" s="1">
        <v>44952</v>
      </c>
      <c r="C27" t="s">
        <v>38</v>
      </c>
      <c r="D27" t="s">
        <v>39</v>
      </c>
      <c r="E27" t="s">
        <v>39</v>
      </c>
      <c r="F27">
        <v>2</v>
      </c>
      <c r="G27">
        <v>6864</v>
      </c>
      <c r="H27">
        <v>13728</v>
      </c>
      <c r="I27" t="s">
        <v>32</v>
      </c>
      <c r="J27" t="s">
        <v>22</v>
      </c>
      <c r="K27" t="s">
        <v>18</v>
      </c>
      <c r="L27" t="s">
        <v>23</v>
      </c>
      <c r="M27" t="s">
        <v>24</v>
      </c>
      <c r="N27" t="str">
        <f t="shared" si="0"/>
        <v>High Sales</v>
      </c>
    </row>
    <row r="28" spans="1:22" x14ac:dyDescent="0.3">
      <c r="A28" t="s">
        <v>63</v>
      </c>
      <c r="B28" s="1">
        <v>44953</v>
      </c>
      <c r="C28" t="s">
        <v>26</v>
      </c>
      <c r="D28" t="s">
        <v>15</v>
      </c>
      <c r="E28" t="s">
        <v>26</v>
      </c>
      <c r="F28">
        <v>2</v>
      </c>
      <c r="G28">
        <v>8526</v>
      </c>
      <c r="H28">
        <v>17052</v>
      </c>
      <c r="I28" t="s">
        <v>16</v>
      </c>
      <c r="J28" t="s">
        <v>27</v>
      </c>
      <c r="K28" t="s">
        <v>18</v>
      </c>
      <c r="L28" t="s">
        <v>41</v>
      </c>
      <c r="M28" t="s">
        <v>24</v>
      </c>
      <c r="N28" t="str">
        <f t="shared" si="0"/>
        <v>High Sales</v>
      </c>
    </row>
    <row r="29" spans="1:22" x14ac:dyDescent="0.3">
      <c r="A29" t="s">
        <v>64</v>
      </c>
      <c r="B29" s="1">
        <v>44954</v>
      </c>
      <c r="C29" t="s">
        <v>14</v>
      </c>
      <c r="D29" t="s">
        <v>15</v>
      </c>
      <c r="E29" t="s">
        <v>14</v>
      </c>
      <c r="F29">
        <v>2</v>
      </c>
      <c r="G29">
        <v>9901</v>
      </c>
      <c r="H29">
        <v>19802</v>
      </c>
      <c r="I29" t="s">
        <v>16</v>
      </c>
      <c r="J29" t="s">
        <v>17</v>
      </c>
      <c r="K29" t="s">
        <v>18</v>
      </c>
      <c r="L29" t="s">
        <v>23</v>
      </c>
      <c r="M29" t="s">
        <v>50</v>
      </c>
      <c r="N29" t="str">
        <f t="shared" si="0"/>
        <v>High Sales</v>
      </c>
    </row>
    <row r="30" spans="1:22" x14ac:dyDescent="0.3">
      <c r="A30" t="s">
        <v>65</v>
      </c>
      <c r="B30" s="1">
        <v>44955</v>
      </c>
      <c r="C30" t="s">
        <v>30</v>
      </c>
      <c r="D30" t="s">
        <v>15</v>
      </c>
      <c r="E30" t="s">
        <v>30</v>
      </c>
      <c r="F30">
        <v>4</v>
      </c>
      <c r="G30">
        <v>6575</v>
      </c>
      <c r="H30">
        <v>26300</v>
      </c>
      <c r="I30" t="s">
        <v>32</v>
      </c>
      <c r="J30" t="s">
        <v>22</v>
      </c>
      <c r="K30" t="s">
        <v>18</v>
      </c>
      <c r="L30" t="s">
        <v>23</v>
      </c>
      <c r="M30" t="s">
        <v>24</v>
      </c>
      <c r="N30" t="str">
        <f t="shared" si="0"/>
        <v>High Sales</v>
      </c>
    </row>
    <row r="31" spans="1:22" x14ac:dyDescent="0.3">
      <c r="A31" t="s">
        <v>66</v>
      </c>
      <c r="B31" s="1">
        <v>44956</v>
      </c>
      <c r="C31" t="s">
        <v>46</v>
      </c>
      <c r="D31" t="s">
        <v>39</v>
      </c>
      <c r="E31" t="s">
        <v>39</v>
      </c>
      <c r="F31">
        <v>4</v>
      </c>
      <c r="G31">
        <v>6530</v>
      </c>
      <c r="H31">
        <v>26120</v>
      </c>
      <c r="I31" t="s">
        <v>16</v>
      </c>
      <c r="J31" t="s">
        <v>27</v>
      </c>
      <c r="K31" t="s">
        <v>18</v>
      </c>
      <c r="L31" t="s">
        <v>34</v>
      </c>
      <c r="M31" t="s">
        <v>20</v>
      </c>
      <c r="N31" t="str">
        <f t="shared" si="0"/>
        <v>High Sales</v>
      </c>
    </row>
    <row r="32" spans="1:22" x14ac:dyDescent="0.3">
      <c r="A32" t="s">
        <v>67</v>
      </c>
      <c r="B32" s="1">
        <v>44957</v>
      </c>
      <c r="C32" t="s">
        <v>26</v>
      </c>
      <c r="D32" t="s">
        <v>15</v>
      </c>
      <c r="E32" t="s">
        <v>26</v>
      </c>
      <c r="F32">
        <v>1</v>
      </c>
      <c r="G32">
        <v>5413</v>
      </c>
      <c r="H32">
        <v>5413</v>
      </c>
      <c r="I32" t="s">
        <v>16</v>
      </c>
      <c r="J32" t="s">
        <v>33</v>
      </c>
      <c r="K32" t="s">
        <v>18</v>
      </c>
      <c r="L32" t="s">
        <v>19</v>
      </c>
      <c r="M32" t="s">
        <v>24</v>
      </c>
      <c r="N32" t="str">
        <f t="shared" si="0"/>
        <v>Low Sales</v>
      </c>
    </row>
    <row r="33" spans="1:14" x14ac:dyDescent="0.3">
      <c r="A33" t="s">
        <v>68</v>
      </c>
      <c r="B33" s="1">
        <v>44958</v>
      </c>
      <c r="C33" t="s">
        <v>26</v>
      </c>
      <c r="D33" t="s">
        <v>15</v>
      </c>
      <c r="E33" t="s">
        <v>26</v>
      </c>
      <c r="F33">
        <v>1</v>
      </c>
      <c r="G33">
        <v>4748</v>
      </c>
      <c r="H33">
        <v>4748</v>
      </c>
      <c r="I33" t="s">
        <v>32</v>
      </c>
      <c r="J33" t="s">
        <v>22</v>
      </c>
      <c r="K33" t="s">
        <v>18</v>
      </c>
      <c r="L33" t="s">
        <v>23</v>
      </c>
      <c r="M33" t="s">
        <v>24</v>
      </c>
      <c r="N33" t="str">
        <f t="shared" si="0"/>
        <v>Low Sales</v>
      </c>
    </row>
    <row r="34" spans="1:14" x14ac:dyDescent="0.3">
      <c r="A34" t="s">
        <v>69</v>
      </c>
      <c r="B34" s="1">
        <v>44959</v>
      </c>
      <c r="C34" t="s">
        <v>30</v>
      </c>
      <c r="D34" t="s">
        <v>15</v>
      </c>
      <c r="E34" t="s">
        <v>30</v>
      </c>
      <c r="F34">
        <v>4</v>
      </c>
      <c r="G34">
        <v>1663</v>
      </c>
      <c r="H34">
        <v>6652</v>
      </c>
      <c r="I34" t="s">
        <v>16</v>
      </c>
      <c r="J34" t="s">
        <v>33</v>
      </c>
      <c r="K34" t="s">
        <v>18</v>
      </c>
      <c r="L34" t="s">
        <v>34</v>
      </c>
      <c r="M34" t="s">
        <v>24</v>
      </c>
      <c r="N34" t="str">
        <f t="shared" ref="N34:N65" si="2">IF(H34&gt;=10000,"High Sales","Low Sales")</f>
        <v>Low Sales</v>
      </c>
    </row>
    <row r="35" spans="1:14" x14ac:dyDescent="0.3">
      <c r="A35" t="s">
        <v>70</v>
      </c>
      <c r="B35" s="1">
        <v>44960</v>
      </c>
      <c r="C35" t="s">
        <v>30</v>
      </c>
      <c r="D35" t="s">
        <v>15</v>
      </c>
      <c r="E35" t="s">
        <v>30</v>
      </c>
      <c r="F35">
        <v>2</v>
      </c>
      <c r="G35">
        <v>2998</v>
      </c>
      <c r="H35">
        <v>5996</v>
      </c>
      <c r="I35" t="s">
        <v>16</v>
      </c>
      <c r="J35" t="s">
        <v>27</v>
      </c>
      <c r="K35" t="s">
        <v>18</v>
      </c>
      <c r="L35" t="s">
        <v>41</v>
      </c>
      <c r="M35" t="s">
        <v>28</v>
      </c>
      <c r="N35" t="str">
        <f t="shared" si="2"/>
        <v>Low Sales</v>
      </c>
    </row>
    <row r="36" spans="1:14" x14ac:dyDescent="0.3">
      <c r="A36" t="s">
        <v>71</v>
      </c>
      <c r="B36" s="1">
        <v>44961</v>
      </c>
      <c r="C36" t="s">
        <v>26</v>
      </c>
      <c r="D36" t="s">
        <v>15</v>
      </c>
      <c r="E36" t="s">
        <v>26</v>
      </c>
      <c r="F36">
        <v>2</v>
      </c>
      <c r="G36">
        <v>8994</v>
      </c>
      <c r="H36">
        <v>17988</v>
      </c>
      <c r="I36" t="s">
        <v>32</v>
      </c>
      <c r="J36" t="s">
        <v>27</v>
      </c>
      <c r="K36" t="s">
        <v>18</v>
      </c>
      <c r="L36" t="s">
        <v>34</v>
      </c>
      <c r="M36" t="s">
        <v>20</v>
      </c>
      <c r="N36" t="str">
        <f t="shared" si="2"/>
        <v>High Sales</v>
      </c>
    </row>
    <row r="37" spans="1:14" x14ac:dyDescent="0.3">
      <c r="A37" t="s">
        <v>72</v>
      </c>
      <c r="B37" s="1">
        <v>44962</v>
      </c>
      <c r="C37" t="s">
        <v>14</v>
      </c>
      <c r="D37" t="s">
        <v>15</v>
      </c>
      <c r="E37" t="s">
        <v>14</v>
      </c>
      <c r="F37">
        <v>1</v>
      </c>
      <c r="G37">
        <v>2495</v>
      </c>
      <c r="H37">
        <v>2495</v>
      </c>
      <c r="I37" t="s">
        <v>16</v>
      </c>
      <c r="J37" t="s">
        <v>27</v>
      </c>
      <c r="K37" t="s">
        <v>18</v>
      </c>
      <c r="L37" t="s">
        <v>41</v>
      </c>
      <c r="M37" t="s">
        <v>24</v>
      </c>
      <c r="N37" t="str">
        <f t="shared" si="2"/>
        <v>Low Sales</v>
      </c>
    </row>
    <row r="38" spans="1:14" x14ac:dyDescent="0.3">
      <c r="A38" t="s">
        <v>73</v>
      </c>
      <c r="B38" s="1">
        <v>44963</v>
      </c>
      <c r="C38" t="s">
        <v>14</v>
      </c>
      <c r="D38" t="s">
        <v>15</v>
      </c>
      <c r="E38" t="s">
        <v>14</v>
      </c>
      <c r="F38">
        <v>4</v>
      </c>
      <c r="G38">
        <v>4304</v>
      </c>
      <c r="H38">
        <v>17216</v>
      </c>
      <c r="I38" t="s">
        <v>16</v>
      </c>
      <c r="J38" t="s">
        <v>27</v>
      </c>
      <c r="K38" t="s">
        <v>18</v>
      </c>
      <c r="L38" t="s">
        <v>19</v>
      </c>
      <c r="M38" t="s">
        <v>20</v>
      </c>
      <c r="N38" t="str">
        <f t="shared" si="2"/>
        <v>High Sales</v>
      </c>
    </row>
    <row r="39" spans="1:14" x14ac:dyDescent="0.3">
      <c r="A39" t="s">
        <v>74</v>
      </c>
      <c r="B39" s="1">
        <v>44964</v>
      </c>
      <c r="C39" t="s">
        <v>46</v>
      </c>
      <c r="D39" t="s">
        <v>39</v>
      </c>
      <c r="E39" t="s">
        <v>39</v>
      </c>
      <c r="F39">
        <v>1</v>
      </c>
      <c r="G39">
        <v>4763</v>
      </c>
      <c r="H39">
        <v>4763</v>
      </c>
      <c r="I39" t="s">
        <v>16</v>
      </c>
      <c r="J39" t="s">
        <v>40</v>
      </c>
      <c r="K39" t="s">
        <v>18</v>
      </c>
      <c r="L39" t="s">
        <v>23</v>
      </c>
      <c r="M39" t="s">
        <v>20</v>
      </c>
      <c r="N39" t="str">
        <f t="shared" si="2"/>
        <v>Low Sales</v>
      </c>
    </row>
    <row r="40" spans="1:14" x14ac:dyDescent="0.3">
      <c r="A40" t="s">
        <v>75</v>
      </c>
      <c r="B40" s="1">
        <v>44965</v>
      </c>
      <c r="C40" t="s">
        <v>14</v>
      </c>
      <c r="D40" t="s">
        <v>15</v>
      </c>
      <c r="E40" t="s">
        <v>14</v>
      </c>
      <c r="F40">
        <v>1</v>
      </c>
      <c r="G40">
        <v>6232</v>
      </c>
      <c r="H40">
        <v>6232</v>
      </c>
      <c r="I40" t="s">
        <v>16</v>
      </c>
      <c r="J40" t="s">
        <v>27</v>
      </c>
      <c r="K40" t="s">
        <v>18</v>
      </c>
      <c r="L40" t="s">
        <v>43</v>
      </c>
      <c r="M40" t="s">
        <v>20</v>
      </c>
      <c r="N40" t="str">
        <f t="shared" si="2"/>
        <v>Low Sales</v>
      </c>
    </row>
    <row r="41" spans="1:14" x14ac:dyDescent="0.3">
      <c r="A41" t="s">
        <v>76</v>
      </c>
      <c r="B41" s="1">
        <v>44966</v>
      </c>
      <c r="C41" t="s">
        <v>26</v>
      </c>
      <c r="D41" t="s">
        <v>15</v>
      </c>
      <c r="E41" t="s">
        <v>26</v>
      </c>
      <c r="F41">
        <v>3</v>
      </c>
      <c r="G41">
        <v>2853</v>
      </c>
      <c r="H41">
        <v>8559</v>
      </c>
      <c r="I41" t="s">
        <v>16</v>
      </c>
      <c r="J41" t="s">
        <v>40</v>
      </c>
      <c r="K41" t="s">
        <v>18</v>
      </c>
      <c r="L41" t="s">
        <v>41</v>
      </c>
      <c r="M41" t="s">
        <v>50</v>
      </c>
      <c r="N41" t="str">
        <f t="shared" si="2"/>
        <v>Low Sales</v>
      </c>
    </row>
    <row r="42" spans="1:14" x14ac:dyDescent="0.3">
      <c r="A42" t="s">
        <v>77</v>
      </c>
      <c r="B42" s="1">
        <v>44967</v>
      </c>
      <c r="C42" t="s">
        <v>26</v>
      </c>
      <c r="D42" t="s">
        <v>15</v>
      </c>
      <c r="E42" t="s">
        <v>26</v>
      </c>
      <c r="F42">
        <v>3</v>
      </c>
      <c r="G42">
        <v>7585</v>
      </c>
      <c r="H42">
        <v>22755</v>
      </c>
      <c r="I42" t="s">
        <v>32</v>
      </c>
      <c r="J42" t="s">
        <v>17</v>
      </c>
      <c r="K42" t="s">
        <v>18</v>
      </c>
      <c r="L42" t="s">
        <v>23</v>
      </c>
      <c r="M42" t="s">
        <v>24</v>
      </c>
      <c r="N42" t="str">
        <f t="shared" si="2"/>
        <v>High Sales</v>
      </c>
    </row>
    <row r="43" spans="1:14" x14ac:dyDescent="0.3">
      <c r="A43" t="s">
        <v>78</v>
      </c>
      <c r="B43" s="1">
        <v>44968</v>
      </c>
      <c r="C43" t="s">
        <v>38</v>
      </c>
      <c r="D43" t="s">
        <v>39</v>
      </c>
      <c r="E43" t="s">
        <v>39</v>
      </c>
      <c r="F43">
        <v>3</v>
      </c>
      <c r="G43">
        <v>2291</v>
      </c>
      <c r="H43">
        <v>6873</v>
      </c>
      <c r="I43" t="s">
        <v>16</v>
      </c>
      <c r="J43" t="s">
        <v>40</v>
      </c>
      <c r="K43" t="s">
        <v>18</v>
      </c>
      <c r="L43" t="s">
        <v>43</v>
      </c>
      <c r="M43" t="s">
        <v>28</v>
      </c>
      <c r="N43" t="str">
        <f t="shared" si="2"/>
        <v>Low Sales</v>
      </c>
    </row>
    <row r="44" spans="1:14" x14ac:dyDescent="0.3">
      <c r="A44" t="s">
        <v>79</v>
      </c>
      <c r="B44" s="1">
        <v>44969</v>
      </c>
      <c r="C44" t="s">
        <v>26</v>
      </c>
      <c r="D44" t="s">
        <v>15</v>
      </c>
      <c r="E44" t="s">
        <v>26</v>
      </c>
      <c r="F44">
        <v>2</v>
      </c>
      <c r="G44">
        <v>4581</v>
      </c>
      <c r="H44">
        <v>9162</v>
      </c>
      <c r="I44" t="s">
        <v>32</v>
      </c>
      <c r="J44" t="s">
        <v>33</v>
      </c>
      <c r="K44" t="s">
        <v>18</v>
      </c>
      <c r="L44" t="s">
        <v>43</v>
      </c>
      <c r="M44" t="s">
        <v>28</v>
      </c>
      <c r="N44" t="str">
        <f t="shared" si="2"/>
        <v>Low Sales</v>
      </c>
    </row>
    <row r="45" spans="1:14" x14ac:dyDescent="0.3">
      <c r="A45" t="s">
        <v>80</v>
      </c>
      <c r="B45" s="1">
        <v>44970</v>
      </c>
      <c r="C45" t="s">
        <v>14</v>
      </c>
      <c r="D45" t="s">
        <v>15</v>
      </c>
      <c r="E45" t="s">
        <v>14</v>
      </c>
      <c r="F45">
        <v>4</v>
      </c>
      <c r="G45">
        <v>8554</v>
      </c>
      <c r="H45">
        <v>34216</v>
      </c>
      <c r="I45" t="s">
        <v>32</v>
      </c>
      <c r="J45" t="s">
        <v>17</v>
      </c>
      <c r="K45" t="s">
        <v>18</v>
      </c>
      <c r="L45" t="s">
        <v>41</v>
      </c>
      <c r="M45" t="s">
        <v>28</v>
      </c>
      <c r="N45" t="str">
        <f t="shared" si="2"/>
        <v>High Sales</v>
      </c>
    </row>
    <row r="46" spans="1:14" x14ac:dyDescent="0.3">
      <c r="A46" t="s">
        <v>81</v>
      </c>
      <c r="B46" s="1">
        <v>44971</v>
      </c>
      <c r="C46" t="s">
        <v>46</v>
      </c>
      <c r="D46" t="s">
        <v>39</v>
      </c>
      <c r="E46" t="s">
        <v>39</v>
      </c>
      <c r="F46">
        <v>4</v>
      </c>
      <c r="G46">
        <v>8280</v>
      </c>
      <c r="H46">
        <v>33120</v>
      </c>
      <c r="I46" t="s">
        <v>16</v>
      </c>
      <c r="J46" t="s">
        <v>33</v>
      </c>
      <c r="K46" t="s">
        <v>18</v>
      </c>
      <c r="L46" t="s">
        <v>23</v>
      </c>
      <c r="M46" t="s">
        <v>28</v>
      </c>
      <c r="N46" t="str">
        <f t="shared" si="2"/>
        <v>High Sales</v>
      </c>
    </row>
    <row r="47" spans="1:14" x14ac:dyDescent="0.3">
      <c r="A47" t="s">
        <v>82</v>
      </c>
      <c r="B47" s="1">
        <v>44972</v>
      </c>
      <c r="C47" t="s">
        <v>38</v>
      </c>
      <c r="D47" t="s">
        <v>39</v>
      </c>
      <c r="E47" t="s">
        <v>39</v>
      </c>
      <c r="F47">
        <v>4</v>
      </c>
      <c r="G47">
        <v>2636</v>
      </c>
      <c r="H47">
        <v>10544</v>
      </c>
      <c r="I47" t="s">
        <v>16</v>
      </c>
      <c r="J47" t="s">
        <v>22</v>
      </c>
      <c r="K47" t="s">
        <v>18</v>
      </c>
      <c r="L47" t="s">
        <v>43</v>
      </c>
      <c r="M47" t="s">
        <v>24</v>
      </c>
      <c r="N47" t="str">
        <f t="shared" si="2"/>
        <v>High Sales</v>
      </c>
    </row>
    <row r="48" spans="1:14" x14ac:dyDescent="0.3">
      <c r="A48" t="s">
        <v>83</v>
      </c>
      <c r="B48" s="1">
        <v>44973</v>
      </c>
      <c r="C48" t="s">
        <v>14</v>
      </c>
      <c r="D48" t="s">
        <v>15</v>
      </c>
      <c r="E48" t="s">
        <v>14</v>
      </c>
      <c r="F48">
        <v>4</v>
      </c>
      <c r="G48">
        <v>4696</v>
      </c>
      <c r="H48">
        <v>18784</v>
      </c>
      <c r="I48" t="s">
        <v>32</v>
      </c>
      <c r="J48" t="s">
        <v>22</v>
      </c>
      <c r="K48" t="s">
        <v>18</v>
      </c>
      <c r="L48" t="s">
        <v>34</v>
      </c>
      <c r="M48" t="s">
        <v>28</v>
      </c>
      <c r="N48" t="str">
        <f t="shared" si="2"/>
        <v>High Sales</v>
      </c>
    </row>
    <row r="49" spans="1:14" x14ac:dyDescent="0.3">
      <c r="A49" t="s">
        <v>84</v>
      </c>
      <c r="B49" s="1">
        <v>44974</v>
      </c>
      <c r="C49" t="s">
        <v>46</v>
      </c>
      <c r="D49" t="s">
        <v>39</v>
      </c>
      <c r="E49" t="s">
        <v>39</v>
      </c>
      <c r="F49">
        <v>3</v>
      </c>
      <c r="G49">
        <v>1698</v>
      </c>
      <c r="H49">
        <v>5094</v>
      </c>
      <c r="I49" t="s">
        <v>32</v>
      </c>
      <c r="J49" t="s">
        <v>40</v>
      </c>
      <c r="K49" t="s">
        <v>18</v>
      </c>
      <c r="L49" t="s">
        <v>34</v>
      </c>
      <c r="M49" t="s">
        <v>20</v>
      </c>
      <c r="N49" t="str">
        <f t="shared" si="2"/>
        <v>Low Sales</v>
      </c>
    </row>
    <row r="50" spans="1:14" x14ac:dyDescent="0.3">
      <c r="A50" t="s">
        <v>85</v>
      </c>
      <c r="B50" s="1">
        <v>44975</v>
      </c>
      <c r="C50" t="s">
        <v>14</v>
      </c>
      <c r="D50" t="s">
        <v>15</v>
      </c>
      <c r="E50" t="s">
        <v>14</v>
      </c>
      <c r="F50">
        <v>2</v>
      </c>
      <c r="G50">
        <v>5737</v>
      </c>
      <c r="H50">
        <v>11474</v>
      </c>
      <c r="I50" t="s">
        <v>16</v>
      </c>
      <c r="J50" t="s">
        <v>33</v>
      </c>
      <c r="K50" t="s">
        <v>18</v>
      </c>
      <c r="L50" t="s">
        <v>23</v>
      </c>
      <c r="M50" t="s">
        <v>50</v>
      </c>
      <c r="N50" t="str">
        <f t="shared" si="2"/>
        <v>High Sales</v>
      </c>
    </row>
    <row r="51" spans="1:14" x14ac:dyDescent="0.3">
      <c r="A51" t="s">
        <v>86</v>
      </c>
      <c r="B51" s="1">
        <v>44976</v>
      </c>
      <c r="C51" t="s">
        <v>38</v>
      </c>
      <c r="D51" t="s">
        <v>39</v>
      </c>
      <c r="E51" t="s">
        <v>39</v>
      </c>
      <c r="F51">
        <v>2</v>
      </c>
      <c r="G51">
        <v>1854</v>
      </c>
      <c r="H51">
        <v>3708</v>
      </c>
      <c r="I51" t="s">
        <v>32</v>
      </c>
      <c r="J51" t="s">
        <v>22</v>
      </c>
      <c r="K51" t="s">
        <v>18</v>
      </c>
      <c r="L51" t="s">
        <v>19</v>
      </c>
      <c r="M51" t="s">
        <v>28</v>
      </c>
      <c r="N51" t="str">
        <f t="shared" si="2"/>
        <v>Low Sales</v>
      </c>
    </row>
    <row r="52" spans="1:14" x14ac:dyDescent="0.3">
      <c r="A52" t="s">
        <v>87</v>
      </c>
      <c r="B52" s="1">
        <v>44977</v>
      </c>
      <c r="C52" t="s">
        <v>26</v>
      </c>
      <c r="D52" t="s">
        <v>15</v>
      </c>
      <c r="E52" t="s">
        <v>26</v>
      </c>
      <c r="F52">
        <v>3</v>
      </c>
      <c r="G52">
        <v>9164</v>
      </c>
      <c r="H52">
        <v>27492</v>
      </c>
      <c r="I52" t="s">
        <v>32</v>
      </c>
      <c r="J52" t="s">
        <v>22</v>
      </c>
      <c r="K52" t="s">
        <v>18</v>
      </c>
      <c r="L52" t="s">
        <v>34</v>
      </c>
      <c r="M52" t="s">
        <v>20</v>
      </c>
      <c r="N52" t="str">
        <f t="shared" si="2"/>
        <v>High Sales</v>
      </c>
    </row>
    <row r="53" spans="1:14" x14ac:dyDescent="0.3">
      <c r="A53" t="s">
        <v>88</v>
      </c>
      <c r="B53" s="1">
        <v>44978</v>
      </c>
      <c r="C53" t="s">
        <v>38</v>
      </c>
      <c r="D53" t="s">
        <v>39</v>
      </c>
      <c r="E53" t="s">
        <v>39</v>
      </c>
      <c r="F53">
        <v>2</v>
      </c>
      <c r="G53">
        <v>6855</v>
      </c>
      <c r="H53">
        <v>13710</v>
      </c>
      <c r="I53" t="s">
        <v>32</v>
      </c>
      <c r="J53" t="s">
        <v>22</v>
      </c>
      <c r="K53" t="s">
        <v>18</v>
      </c>
      <c r="L53" t="s">
        <v>41</v>
      </c>
      <c r="M53" t="s">
        <v>28</v>
      </c>
      <c r="N53" t="str">
        <f t="shared" si="2"/>
        <v>High Sales</v>
      </c>
    </row>
    <row r="54" spans="1:14" x14ac:dyDescent="0.3">
      <c r="A54" t="s">
        <v>89</v>
      </c>
      <c r="B54" s="1">
        <v>44979</v>
      </c>
      <c r="C54" t="s">
        <v>26</v>
      </c>
      <c r="D54" t="s">
        <v>15</v>
      </c>
      <c r="E54" t="s">
        <v>26</v>
      </c>
      <c r="F54">
        <v>3</v>
      </c>
      <c r="G54">
        <v>8392</v>
      </c>
      <c r="H54">
        <v>25176</v>
      </c>
      <c r="I54" t="s">
        <v>32</v>
      </c>
      <c r="J54" t="s">
        <v>17</v>
      </c>
      <c r="K54" t="s">
        <v>18</v>
      </c>
      <c r="L54" t="s">
        <v>23</v>
      </c>
      <c r="M54" t="s">
        <v>24</v>
      </c>
      <c r="N54" t="str">
        <f t="shared" si="2"/>
        <v>High Sales</v>
      </c>
    </row>
    <row r="55" spans="1:14" x14ac:dyDescent="0.3">
      <c r="A55" t="s">
        <v>90</v>
      </c>
      <c r="B55" s="1">
        <v>44980</v>
      </c>
      <c r="C55" t="s">
        <v>38</v>
      </c>
      <c r="D55" t="s">
        <v>39</v>
      </c>
      <c r="E55" t="s">
        <v>39</v>
      </c>
      <c r="F55">
        <v>4</v>
      </c>
      <c r="G55">
        <v>7528</v>
      </c>
      <c r="H55">
        <v>30112</v>
      </c>
      <c r="I55" t="s">
        <v>32</v>
      </c>
      <c r="J55" t="s">
        <v>17</v>
      </c>
      <c r="K55" t="s">
        <v>18</v>
      </c>
      <c r="L55" t="s">
        <v>43</v>
      </c>
      <c r="M55" t="s">
        <v>20</v>
      </c>
      <c r="N55" t="str">
        <f t="shared" si="2"/>
        <v>High Sales</v>
      </c>
    </row>
    <row r="56" spans="1:14" x14ac:dyDescent="0.3">
      <c r="A56" t="s">
        <v>91</v>
      </c>
      <c r="B56" s="1">
        <v>44981</v>
      </c>
      <c r="C56" t="s">
        <v>30</v>
      </c>
      <c r="D56" t="s">
        <v>15</v>
      </c>
      <c r="E56" t="s">
        <v>30</v>
      </c>
      <c r="F56">
        <v>3</v>
      </c>
      <c r="G56">
        <v>6249</v>
      </c>
      <c r="H56">
        <v>18747</v>
      </c>
      <c r="I56" t="s">
        <v>32</v>
      </c>
      <c r="J56" t="s">
        <v>27</v>
      </c>
      <c r="K56" t="s">
        <v>18</v>
      </c>
      <c r="L56" t="s">
        <v>34</v>
      </c>
      <c r="M56" t="s">
        <v>24</v>
      </c>
      <c r="N56" t="str">
        <f t="shared" si="2"/>
        <v>High Sales</v>
      </c>
    </row>
    <row r="57" spans="1:14" x14ac:dyDescent="0.3">
      <c r="A57" t="s">
        <v>92</v>
      </c>
      <c r="B57" s="1">
        <v>44982</v>
      </c>
      <c r="C57" t="s">
        <v>14</v>
      </c>
      <c r="D57" t="s">
        <v>15</v>
      </c>
      <c r="E57" t="s">
        <v>14</v>
      </c>
      <c r="F57">
        <v>4</v>
      </c>
      <c r="G57">
        <v>6172</v>
      </c>
      <c r="H57">
        <v>24688</v>
      </c>
      <c r="I57" t="s">
        <v>16</v>
      </c>
      <c r="J57" t="s">
        <v>33</v>
      </c>
      <c r="K57" t="s">
        <v>18</v>
      </c>
      <c r="L57" t="s">
        <v>23</v>
      </c>
      <c r="M57" t="s">
        <v>28</v>
      </c>
      <c r="N57" t="str">
        <f t="shared" si="2"/>
        <v>High Sales</v>
      </c>
    </row>
    <row r="58" spans="1:14" x14ac:dyDescent="0.3">
      <c r="A58" t="s">
        <v>93</v>
      </c>
      <c r="B58" s="1">
        <v>44983</v>
      </c>
      <c r="C58" t="s">
        <v>14</v>
      </c>
      <c r="D58" t="s">
        <v>15</v>
      </c>
      <c r="E58" t="s">
        <v>14</v>
      </c>
      <c r="F58">
        <v>4</v>
      </c>
      <c r="G58">
        <v>2707</v>
      </c>
      <c r="H58">
        <v>10828</v>
      </c>
      <c r="I58" t="s">
        <v>32</v>
      </c>
      <c r="J58" t="s">
        <v>22</v>
      </c>
      <c r="K58" t="s">
        <v>18</v>
      </c>
      <c r="L58" t="s">
        <v>23</v>
      </c>
      <c r="M58" t="s">
        <v>20</v>
      </c>
      <c r="N58" t="str">
        <f t="shared" si="2"/>
        <v>High Sales</v>
      </c>
    </row>
    <row r="59" spans="1:14" x14ac:dyDescent="0.3">
      <c r="A59" t="s">
        <v>94</v>
      </c>
      <c r="B59" s="1">
        <v>44984</v>
      </c>
      <c r="C59" t="s">
        <v>30</v>
      </c>
      <c r="D59" t="s">
        <v>15</v>
      </c>
      <c r="E59" t="s">
        <v>30</v>
      </c>
      <c r="F59">
        <v>1</v>
      </c>
      <c r="G59">
        <v>6791</v>
      </c>
      <c r="H59">
        <v>6791</v>
      </c>
      <c r="I59" t="s">
        <v>16</v>
      </c>
      <c r="J59" t="s">
        <v>33</v>
      </c>
      <c r="K59" t="s">
        <v>18</v>
      </c>
      <c r="L59" t="s">
        <v>19</v>
      </c>
      <c r="M59" t="s">
        <v>20</v>
      </c>
      <c r="N59" t="str">
        <f t="shared" si="2"/>
        <v>Low Sales</v>
      </c>
    </row>
    <row r="60" spans="1:14" x14ac:dyDescent="0.3">
      <c r="A60" t="s">
        <v>95</v>
      </c>
      <c r="B60" s="1">
        <v>44985</v>
      </c>
      <c r="C60" t="s">
        <v>26</v>
      </c>
      <c r="D60" t="s">
        <v>15</v>
      </c>
      <c r="E60" t="s">
        <v>26</v>
      </c>
      <c r="F60">
        <v>3</v>
      </c>
      <c r="G60">
        <v>6535</v>
      </c>
      <c r="H60">
        <v>19605</v>
      </c>
      <c r="I60" t="s">
        <v>16</v>
      </c>
      <c r="J60" t="s">
        <v>27</v>
      </c>
      <c r="K60" t="s">
        <v>18</v>
      </c>
      <c r="L60" t="s">
        <v>43</v>
      </c>
      <c r="M60" t="s">
        <v>20</v>
      </c>
      <c r="N60" t="str">
        <f t="shared" si="2"/>
        <v>High Sales</v>
      </c>
    </row>
    <row r="61" spans="1:14" x14ac:dyDescent="0.3">
      <c r="A61" t="s">
        <v>96</v>
      </c>
      <c r="B61" s="1">
        <v>44986</v>
      </c>
      <c r="C61" t="s">
        <v>14</v>
      </c>
      <c r="D61" t="s">
        <v>15</v>
      </c>
      <c r="E61" t="s">
        <v>14</v>
      </c>
      <c r="F61">
        <v>1</v>
      </c>
      <c r="G61">
        <v>5931</v>
      </c>
      <c r="H61">
        <v>5931</v>
      </c>
      <c r="I61" t="s">
        <v>32</v>
      </c>
      <c r="J61" t="s">
        <v>40</v>
      </c>
      <c r="K61" t="s">
        <v>18</v>
      </c>
      <c r="L61" t="s">
        <v>43</v>
      </c>
      <c r="M61" t="s">
        <v>28</v>
      </c>
      <c r="N61" t="str">
        <f t="shared" si="2"/>
        <v>Low Sales</v>
      </c>
    </row>
    <row r="62" spans="1:14" x14ac:dyDescent="0.3">
      <c r="A62" t="s">
        <v>97</v>
      </c>
      <c r="B62" s="1">
        <v>44987</v>
      </c>
      <c r="C62" t="s">
        <v>30</v>
      </c>
      <c r="D62" t="s">
        <v>15</v>
      </c>
      <c r="E62" t="s">
        <v>30</v>
      </c>
      <c r="F62">
        <v>3</v>
      </c>
      <c r="G62">
        <v>4510</v>
      </c>
      <c r="H62">
        <v>13530</v>
      </c>
      <c r="I62" t="s">
        <v>16</v>
      </c>
      <c r="J62" t="s">
        <v>27</v>
      </c>
      <c r="K62" t="s">
        <v>18</v>
      </c>
      <c r="L62" t="s">
        <v>43</v>
      </c>
      <c r="M62" t="s">
        <v>50</v>
      </c>
      <c r="N62" t="str">
        <f t="shared" si="2"/>
        <v>High Sales</v>
      </c>
    </row>
    <row r="63" spans="1:14" x14ac:dyDescent="0.3">
      <c r="A63" t="s">
        <v>98</v>
      </c>
      <c r="B63" s="1">
        <v>44988</v>
      </c>
      <c r="C63" t="s">
        <v>14</v>
      </c>
      <c r="D63" t="s">
        <v>15</v>
      </c>
      <c r="E63" t="s">
        <v>14</v>
      </c>
      <c r="F63">
        <v>3</v>
      </c>
      <c r="G63">
        <v>1202</v>
      </c>
      <c r="H63">
        <v>3606</v>
      </c>
      <c r="I63" t="s">
        <v>16</v>
      </c>
      <c r="J63" t="s">
        <v>22</v>
      </c>
      <c r="K63" t="s">
        <v>18</v>
      </c>
      <c r="L63" t="s">
        <v>41</v>
      </c>
      <c r="M63" t="s">
        <v>50</v>
      </c>
      <c r="N63" t="str">
        <f t="shared" si="2"/>
        <v>Low Sales</v>
      </c>
    </row>
    <row r="64" spans="1:14" x14ac:dyDescent="0.3">
      <c r="A64" t="s">
        <v>99</v>
      </c>
      <c r="B64" s="1">
        <v>44989</v>
      </c>
      <c r="C64" t="s">
        <v>46</v>
      </c>
      <c r="D64" t="s">
        <v>39</v>
      </c>
      <c r="E64" t="s">
        <v>39</v>
      </c>
      <c r="F64">
        <v>1</v>
      </c>
      <c r="G64">
        <v>5218</v>
      </c>
      <c r="H64">
        <v>5218</v>
      </c>
      <c r="I64" t="s">
        <v>16</v>
      </c>
      <c r="J64" t="s">
        <v>40</v>
      </c>
      <c r="K64" t="s">
        <v>18</v>
      </c>
      <c r="L64" t="s">
        <v>23</v>
      </c>
      <c r="M64" t="s">
        <v>24</v>
      </c>
      <c r="N64" t="str">
        <f t="shared" si="2"/>
        <v>Low Sales</v>
      </c>
    </row>
    <row r="65" spans="1:14" x14ac:dyDescent="0.3">
      <c r="A65" t="s">
        <v>100</v>
      </c>
      <c r="B65" s="1">
        <v>44990</v>
      </c>
      <c r="C65" t="s">
        <v>26</v>
      </c>
      <c r="D65" t="s">
        <v>15</v>
      </c>
      <c r="E65" t="s">
        <v>26</v>
      </c>
      <c r="F65">
        <v>1</v>
      </c>
      <c r="G65">
        <v>9958</v>
      </c>
      <c r="H65">
        <v>9958</v>
      </c>
      <c r="I65" t="s">
        <v>32</v>
      </c>
      <c r="J65" t="s">
        <v>40</v>
      </c>
      <c r="K65" t="s">
        <v>18</v>
      </c>
      <c r="L65" t="s">
        <v>41</v>
      </c>
      <c r="M65" t="s">
        <v>50</v>
      </c>
      <c r="N65" t="str">
        <f t="shared" si="2"/>
        <v>Low Sales</v>
      </c>
    </row>
    <row r="66" spans="1:14" x14ac:dyDescent="0.3">
      <c r="A66" t="s">
        <v>101</v>
      </c>
      <c r="B66" s="1">
        <v>44991</v>
      </c>
      <c r="C66" t="s">
        <v>46</v>
      </c>
      <c r="D66" t="s">
        <v>39</v>
      </c>
      <c r="E66" t="s">
        <v>39</v>
      </c>
      <c r="F66">
        <v>3</v>
      </c>
      <c r="G66">
        <v>5389</v>
      </c>
      <c r="H66">
        <v>16167</v>
      </c>
      <c r="I66" t="s">
        <v>32</v>
      </c>
      <c r="J66" t="s">
        <v>27</v>
      </c>
      <c r="K66" t="s">
        <v>18</v>
      </c>
      <c r="L66" t="s">
        <v>41</v>
      </c>
      <c r="M66" t="s">
        <v>28</v>
      </c>
      <c r="N66" t="str">
        <f t="shared" ref="N66:N97" si="3">IF(H66&gt;=10000,"High Sales","Low Sales")</f>
        <v>High Sales</v>
      </c>
    </row>
    <row r="67" spans="1:14" x14ac:dyDescent="0.3">
      <c r="A67" t="s">
        <v>102</v>
      </c>
      <c r="B67" s="1">
        <v>44992</v>
      </c>
      <c r="C67" t="s">
        <v>26</v>
      </c>
      <c r="D67" t="s">
        <v>15</v>
      </c>
      <c r="E67" t="s">
        <v>26</v>
      </c>
      <c r="F67">
        <v>2</v>
      </c>
      <c r="G67">
        <v>3327</v>
      </c>
      <c r="H67">
        <v>6654</v>
      </c>
      <c r="I67" t="s">
        <v>32</v>
      </c>
      <c r="J67" t="s">
        <v>22</v>
      </c>
      <c r="K67" t="s">
        <v>18</v>
      </c>
      <c r="L67" t="s">
        <v>23</v>
      </c>
      <c r="M67" t="s">
        <v>20</v>
      </c>
      <c r="N67" t="str">
        <f t="shared" si="3"/>
        <v>Low Sales</v>
      </c>
    </row>
    <row r="68" spans="1:14" x14ac:dyDescent="0.3">
      <c r="A68" t="s">
        <v>103</v>
      </c>
      <c r="B68" s="1">
        <v>44993</v>
      </c>
      <c r="C68" t="s">
        <v>30</v>
      </c>
      <c r="D68" t="s">
        <v>15</v>
      </c>
      <c r="E68" t="s">
        <v>30</v>
      </c>
      <c r="F68">
        <v>4</v>
      </c>
      <c r="G68">
        <v>9004</v>
      </c>
      <c r="H68">
        <v>36016</v>
      </c>
      <c r="I68" t="s">
        <v>32</v>
      </c>
      <c r="J68" t="s">
        <v>40</v>
      </c>
      <c r="K68" t="s">
        <v>18</v>
      </c>
      <c r="L68" t="s">
        <v>43</v>
      </c>
      <c r="M68" t="s">
        <v>20</v>
      </c>
      <c r="N68" t="str">
        <f t="shared" si="3"/>
        <v>High Sales</v>
      </c>
    </row>
    <row r="69" spans="1:14" x14ac:dyDescent="0.3">
      <c r="A69" t="s">
        <v>104</v>
      </c>
      <c r="B69" s="1">
        <v>44994</v>
      </c>
      <c r="C69" t="s">
        <v>26</v>
      </c>
      <c r="D69" t="s">
        <v>15</v>
      </c>
      <c r="E69" t="s">
        <v>26</v>
      </c>
      <c r="F69">
        <v>1</v>
      </c>
      <c r="G69">
        <v>3931</v>
      </c>
      <c r="H69">
        <v>3931</v>
      </c>
      <c r="I69" t="s">
        <v>16</v>
      </c>
      <c r="J69" t="s">
        <v>27</v>
      </c>
      <c r="K69" t="s">
        <v>18</v>
      </c>
      <c r="L69" t="s">
        <v>23</v>
      </c>
      <c r="M69" t="s">
        <v>28</v>
      </c>
      <c r="N69" t="str">
        <f t="shared" si="3"/>
        <v>Low Sales</v>
      </c>
    </row>
    <row r="70" spans="1:14" x14ac:dyDescent="0.3">
      <c r="A70" t="s">
        <v>105</v>
      </c>
      <c r="B70" s="1">
        <v>44995</v>
      </c>
      <c r="C70" t="s">
        <v>26</v>
      </c>
      <c r="D70" t="s">
        <v>15</v>
      </c>
      <c r="E70" t="s">
        <v>26</v>
      </c>
      <c r="F70">
        <v>4</v>
      </c>
      <c r="G70">
        <v>8777</v>
      </c>
      <c r="H70">
        <v>35108</v>
      </c>
      <c r="I70" t="s">
        <v>32</v>
      </c>
      <c r="J70" t="s">
        <v>27</v>
      </c>
      <c r="K70" t="s">
        <v>18</v>
      </c>
      <c r="L70" t="s">
        <v>19</v>
      </c>
      <c r="M70" t="s">
        <v>20</v>
      </c>
      <c r="N70" t="str">
        <f t="shared" si="3"/>
        <v>High Sales</v>
      </c>
    </row>
    <row r="71" spans="1:14" x14ac:dyDescent="0.3">
      <c r="A71" t="s">
        <v>106</v>
      </c>
      <c r="B71" s="1">
        <v>44996</v>
      </c>
      <c r="C71" t="s">
        <v>30</v>
      </c>
      <c r="D71" t="s">
        <v>15</v>
      </c>
      <c r="E71" t="s">
        <v>30</v>
      </c>
      <c r="F71">
        <v>2</v>
      </c>
      <c r="G71">
        <v>1197</v>
      </c>
      <c r="H71">
        <v>2394</v>
      </c>
      <c r="I71" t="s">
        <v>32</v>
      </c>
      <c r="J71" t="s">
        <v>22</v>
      </c>
      <c r="K71" t="s">
        <v>18</v>
      </c>
      <c r="L71" t="s">
        <v>23</v>
      </c>
      <c r="M71" t="s">
        <v>50</v>
      </c>
      <c r="N71" t="str">
        <f t="shared" si="3"/>
        <v>Low Sales</v>
      </c>
    </row>
    <row r="72" spans="1:14" x14ac:dyDescent="0.3">
      <c r="A72" t="s">
        <v>107</v>
      </c>
      <c r="B72" s="1">
        <v>44997</v>
      </c>
      <c r="C72" t="s">
        <v>26</v>
      </c>
      <c r="D72" t="s">
        <v>15</v>
      </c>
      <c r="E72" t="s">
        <v>26</v>
      </c>
      <c r="F72">
        <v>2</v>
      </c>
      <c r="G72">
        <v>8125</v>
      </c>
      <c r="H72">
        <v>16250</v>
      </c>
      <c r="I72" t="s">
        <v>16</v>
      </c>
      <c r="J72" t="s">
        <v>27</v>
      </c>
      <c r="K72" t="s">
        <v>18</v>
      </c>
      <c r="L72" t="s">
        <v>23</v>
      </c>
      <c r="M72" t="s">
        <v>24</v>
      </c>
      <c r="N72" t="str">
        <f t="shared" si="3"/>
        <v>High Sales</v>
      </c>
    </row>
    <row r="73" spans="1:14" x14ac:dyDescent="0.3">
      <c r="A73" t="s">
        <v>108</v>
      </c>
      <c r="B73" s="1">
        <v>44998</v>
      </c>
      <c r="C73" t="s">
        <v>14</v>
      </c>
      <c r="D73" t="s">
        <v>15</v>
      </c>
      <c r="E73" t="s">
        <v>14</v>
      </c>
      <c r="F73">
        <v>2</v>
      </c>
      <c r="G73">
        <v>2930</v>
      </c>
      <c r="H73">
        <v>5860</v>
      </c>
      <c r="I73" t="s">
        <v>32</v>
      </c>
      <c r="J73" t="s">
        <v>27</v>
      </c>
      <c r="K73" t="s">
        <v>18</v>
      </c>
      <c r="L73" t="s">
        <v>34</v>
      </c>
      <c r="M73" t="s">
        <v>28</v>
      </c>
      <c r="N73" t="str">
        <f t="shared" si="3"/>
        <v>Low Sales</v>
      </c>
    </row>
    <row r="74" spans="1:14" x14ac:dyDescent="0.3">
      <c r="A74" t="s">
        <v>109</v>
      </c>
      <c r="B74" s="1">
        <v>44999</v>
      </c>
      <c r="C74" t="s">
        <v>38</v>
      </c>
      <c r="D74" t="s">
        <v>39</v>
      </c>
      <c r="E74" t="s">
        <v>39</v>
      </c>
      <c r="F74">
        <v>1</v>
      </c>
      <c r="G74">
        <v>7287</v>
      </c>
      <c r="H74">
        <v>7287</v>
      </c>
      <c r="I74" t="s">
        <v>32</v>
      </c>
      <c r="J74" t="s">
        <v>27</v>
      </c>
      <c r="K74" t="s">
        <v>18</v>
      </c>
      <c r="L74" t="s">
        <v>19</v>
      </c>
      <c r="M74" t="s">
        <v>20</v>
      </c>
      <c r="N74" t="str">
        <f t="shared" si="3"/>
        <v>Low Sales</v>
      </c>
    </row>
    <row r="75" spans="1:14" x14ac:dyDescent="0.3">
      <c r="A75" t="s">
        <v>110</v>
      </c>
      <c r="B75" s="1">
        <v>45000</v>
      </c>
      <c r="C75" t="s">
        <v>30</v>
      </c>
      <c r="D75" t="s">
        <v>15</v>
      </c>
      <c r="E75" t="s">
        <v>30</v>
      </c>
      <c r="F75">
        <v>2</v>
      </c>
      <c r="G75">
        <v>9800</v>
      </c>
      <c r="H75">
        <v>19600</v>
      </c>
      <c r="I75" t="s">
        <v>32</v>
      </c>
      <c r="J75" t="s">
        <v>33</v>
      </c>
      <c r="K75" t="s">
        <v>18</v>
      </c>
      <c r="L75" t="s">
        <v>34</v>
      </c>
      <c r="M75" t="s">
        <v>28</v>
      </c>
      <c r="N75" t="str">
        <f t="shared" si="3"/>
        <v>High Sales</v>
      </c>
    </row>
    <row r="76" spans="1:14" x14ac:dyDescent="0.3">
      <c r="A76" t="s">
        <v>111</v>
      </c>
      <c r="B76" s="1">
        <v>45001</v>
      </c>
      <c r="C76" t="s">
        <v>38</v>
      </c>
      <c r="D76" t="s">
        <v>39</v>
      </c>
      <c r="E76" t="s">
        <v>39</v>
      </c>
      <c r="F76">
        <v>1</v>
      </c>
      <c r="G76">
        <v>5282</v>
      </c>
      <c r="H76">
        <v>5282</v>
      </c>
      <c r="I76" t="s">
        <v>16</v>
      </c>
      <c r="J76" t="s">
        <v>17</v>
      </c>
      <c r="K76" t="s">
        <v>18</v>
      </c>
      <c r="L76" t="s">
        <v>43</v>
      </c>
      <c r="M76" t="s">
        <v>50</v>
      </c>
      <c r="N76" t="str">
        <f t="shared" si="3"/>
        <v>Low Sales</v>
      </c>
    </row>
    <row r="77" spans="1:14" x14ac:dyDescent="0.3">
      <c r="A77" t="s">
        <v>112</v>
      </c>
      <c r="B77" s="1">
        <v>45002</v>
      </c>
      <c r="C77" t="s">
        <v>30</v>
      </c>
      <c r="D77" t="s">
        <v>15</v>
      </c>
      <c r="E77" t="s">
        <v>30</v>
      </c>
      <c r="F77">
        <v>2</v>
      </c>
      <c r="G77">
        <v>3511</v>
      </c>
      <c r="H77">
        <v>7022</v>
      </c>
      <c r="I77" t="s">
        <v>32</v>
      </c>
      <c r="J77" t="s">
        <v>33</v>
      </c>
      <c r="K77" t="s">
        <v>18</v>
      </c>
      <c r="L77" t="s">
        <v>43</v>
      </c>
      <c r="M77" t="s">
        <v>20</v>
      </c>
      <c r="N77" t="str">
        <f t="shared" si="3"/>
        <v>Low Sales</v>
      </c>
    </row>
    <row r="78" spans="1:14" x14ac:dyDescent="0.3">
      <c r="A78" t="s">
        <v>113</v>
      </c>
      <c r="B78" s="1">
        <v>45003</v>
      </c>
      <c r="C78" t="s">
        <v>30</v>
      </c>
      <c r="D78" t="s">
        <v>15</v>
      </c>
      <c r="E78" t="s">
        <v>30</v>
      </c>
      <c r="F78">
        <v>4</v>
      </c>
      <c r="G78">
        <v>1659</v>
      </c>
      <c r="H78">
        <v>6636</v>
      </c>
      <c r="I78" t="s">
        <v>16</v>
      </c>
      <c r="J78" t="s">
        <v>27</v>
      </c>
      <c r="K78" t="s">
        <v>18</v>
      </c>
      <c r="L78" t="s">
        <v>19</v>
      </c>
      <c r="M78" t="s">
        <v>20</v>
      </c>
      <c r="N78" t="str">
        <f t="shared" si="3"/>
        <v>Low Sales</v>
      </c>
    </row>
    <row r="79" spans="1:14" x14ac:dyDescent="0.3">
      <c r="A79" t="s">
        <v>114</v>
      </c>
      <c r="B79" s="1">
        <v>45004</v>
      </c>
      <c r="C79" t="s">
        <v>46</v>
      </c>
      <c r="D79" t="s">
        <v>39</v>
      </c>
      <c r="E79" t="s">
        <v>39</v>
      </c>
      <c r="F79">
        <v>4</v>
      </c>
      <c r="G79">
        <v>3811</v>
      </c>
      <c r="H79">
        <v>15244</v>
      </c>
      <c r="I79" t="s">
        <v>16</v>
      </c>
      <c r="J79" t="s">
        <v>17</v>
      </c>
      <c r="K79" t="s">
        <v>18</v>
      </c>
      <c r="L79" t="s">
        <v>41</v>
      </c>
      <c r="M79" t="s">
        <v>20</v>
      </c>
      <c r="N79" t="str">
        <f t="shared" si="3"/>
        <v>High Sales</v>
      </c>
    </row>
    <row r="80" spans="1:14" x14ac:dyDescent="0.3">
      <c r="A80" t="s">
        <v>115</v>
      </c>
      <c r="B80" s="1">
        <v>45005</v>
      </c>
      <c r="C80" t="s">
        <v>46</v>
      </c>
      <c r="D80" t="s">
        <v>39</v>
      </c>
      <c r="E80" t="s">
        <v>39</v>
      </c>
      <c r="F80">
        <v>3</v>
      </c>
      <c r="G80">
        <v>8098</v>
      </c>
      <c r="H80">
        <v>24294</v>
      </c>
      <c r="I80" t="s">
        <v>16</v>
      </c>
      <c r="J80" t="s">
        <v>40</v>
      </c>
      <c r="K80" t="s">
        <v>18</v>
      </c>
      <c r="L80" t="s">
        <v>23</v>
      </c>
      <c r="M80" t="s">
        <v>20</v>
      </c>
      <c r="N80" t="str">
        <f t="shared" si="3"/>
        <v>High Sales</v>
      </c>
    </row>
    <row r="81" spans="1:14" x14ac:dyDescent="0.3">
      <c r="A81" t="s">
        <v>116</v>
      </c>
      <c r="B81" s="1">
        <v>45006</v>
      </c>
      <c r="C81" t="s">
        <v>26</v>
      </c>
      <c r="D81" t="s">
        <v>15</v>
      </c>
      <c r="E81" t="s">
        <v>26</v>
      </c>
      <c r="F81">
        <v>4</v>
      </c>
      <c r="G81">
        <v>7546</v>
      </c>
      <c r="H81">
        <v>30184</v>
      </c>
      <c r="I81" t="s">
        <v>16</v>
      </c>
      <c r="J81" t="s">
        <v>33</v>
      </c>
      <c r="K81" t="s">
        <v>18</v>
      </c>
      <c r="L81" t="s">
        <v>34</v>
      </c>
      <c r="M81" t="s">
        <v>28</v>
      </c>
      <c r="N81" t="str">
        <f t="shared" si="3"/>
        <v>High Sales</v>
      </c>
    </row>
    <row r="82" spans="1:14" x14ac:dyDescent="0.3">
      <c r="A82" t="s">
        <v>117</v>
      </c>
      <c r="B82" s="1">
        <v>45007</v>
      </c>
      <c r="C82" t="s">
        <v>38</v>
      </c>
      <c r="D82" t="s">
        <v>39</v>
      </c>
      <c r="E82" t="s">
        <v>39</v>
      </c>
      <c r="F82">
        <v>3</v>
      </c>
      <c r="G82">
        <v>2986</v>
      </c>
      <c r="H82">
        <v>8958</v>
      </c>
      <c r="I82" t="s">
        <v>16</v>
      </c>
      <c r="J82" t="s">
        <v>33</v>
      </c>
      <c r="K82" t="s">
        <v>18</v>
      </c>
      <c r="L82" t="s">
        <v>19</v>
      </c>
      <c r="M82" t="s">
        <v>50</v>
      </c>
      <c r="N82" t="str">
        <f t="shared" si="3"/>
        <v>Low Sales</v>
      </c>
    </row>
    <row r="83" spans="1:14" x14ac:dyDescent="0.3">
      <c r="A83" t="s">
        <v>118</v>
      </c>
      <c r="B83" s="1">
        <v>45008</v>
      </c>
      <c r="C83" t="s">
        <v>30</v>
      </c>
      <c r="D83" t="s">
        <v>15</v>
      </c>
      <c r="E83" t="s">
        <v>30</v>
      </c>
      <c r="F83">
        <v>4</v>
      </c>
      <c r="G83">
        <v>9338</v>
      </c>
      <c r="H83">
        <v>37352</v>
      </c>
      <c r="I83" t="s">
        <v>32</v>
      </c>
      <c r="J83" t="s">
        <v>33</v>
      </c>
      <c r="K83" t="s">
        <v>18</v>
      </c>
      <c r="L83" t="s">
        <v>34</v>
      </c>
      <c r="M83" t="s">
        <v>50</v>
      </c>
      <c r="N83" t="str">
        <f t="shared" si="3"/>
        <v>High Sales</v>
      </c>
    </row>
    <row r="84" spans="1:14" x14ac:dyDescent="0.3">
      <c r="A84" t="s">
        <v>119</v>
      </c>
      <c r="B84" s="1">
        <v>45009</v>
      </c>
      <c r="C84" t="s">
        <v>26</v>
      </c>
      <c r="D84" t="s">
        <v>15</v>
      </c>
      <c r="E84" t="s">
        <v>26</v>
      </c>
      <c r="F84">
        <v>1</v>
      </c>
      <c r="G84">
        <v>3911</v>
      </c>
      <c r="H84">
        <v>3911</v>
      </c>
      <c r="I84" t="s">
        <v>16</v>
      </c>
      <c r="J84" t="s">
        <v>22</v>
      </c>
      <c r="K84" t="s">
        <v>18</v>
      </c>
      <c r="L84" t="s">
        <v>23</v>
      </c>
      <c r="M84" t="s">
        <v>24</v>
      </c>
      <c r="N84" t="str">
        <f t="shared" si="3"/>
        <v>Low Sales</v>
      </c>
    </row>
    <row r="85" spans="1:14" x14ac:dyDescent="0.3">
      <c r="A85" t="s">
        <v>120</v>
      </c>
      <c r="B85" s="1">
        <v>45010</v>
      </c>
      <c r="C85" t="s">
        <v>14</v>
      </c>
      <c r="D85" t="s">
        <v>15</v>
      </c>
      <c r="E85" t="s">
        <v>14</v>
      </c>
      <c r="F85">
        <v>4</v>
      </c>
      <c r="G85">
        <v>2734</v>
      </c>
      <c r="H85">
        <v>10936</v>
      </c>
      <c r="I85" t="s">
        <v>16</v>
      </c>
      <c r="J85" t="s">
        <v>27</v>
      </c>
      <c r="K85" t="s">
        <v>18</v>
      </c>
      <c r="L85" t="s">
        <v>41</v>
      </c>
      <c r="M85" t="s">
        <v>28</v>
      </c>
      <c r="N85" t="str">
        <f t="shared" si="3"/>
        <v>High Sales</v>
      </c>
    </row>
    <row r="86" spans="1:14" x14ac:dyDescent="0.3">
      <c r="A86" t="s">
        <v>121</v>
      </c>
      <c r="B86" s="1">
        <v>45011</v>
      </c>
      <c r="C86" t="s">
        <v>30</v>
      </c>
      <c r="D86" t="s">
        <v>15</v>
      </c>
      <c r="E86" t="s">
        <v>30</v>
      </c>
      <c r="F86">
        <v>3</v>
      </c>
      <c r="G86">
        <v>2843</v>
      </c>
      <c r="H86">
        <v>8529</v>
      </c>
      <c r="I86" t="s">
        <v>16</v>
      </c>
      <c r="J86" t="s">
        <v>40</v>
      </c>
      <c r="K86" t="s">
        <v>18</v>
      </c>
      <c r="L86" t="s">
        <v>34</v>
      </c>
      <c r="M86" t="s">
        <v>50</v>
      </c>
      <c r="N86" t="str">
        <f t="shared" si="3"/>
        <v>Low Sales</v>
      </c>
    </row>
    <row r="87" spans="1:14" x14ac:dyDescent="0.3">
      <c r="A87" t="s">
        <v>122</v>
      </c>
      <c r="B87" s="1">
        <v>45012</v>
      </c>
      <c r="C87" t="s">
        <v>14</v>
      </c>
      <c r="D87" t="s">
        <v>15</v>
      </c>
      <c r="E87" t="s">
        <v>14</v>
      </c>
      <c r="F87">
        <v>3</v>
      </c>
      <c r="G87">
        <v>9680</v>
      </c>
      <c r="H87">
        <v>29040</v>
      </c>
      <c r="I87" t="s">
        <v>32</v>
      </c>
      <c r="J87" t="s">
        <v>40</v>
      </c>
      <c r="K87" t="s">
        <v>18</v>
      </c>
      <c r="L87" t="s">
        <v>19</v>
      </c>
      <c r="M87" t="s">
        <v>28</v>
      </c>
      <c r="N87" t="str">
        <f t="shared" si="3"/>
        <v>High Sales</v>
      </c>
    </row>
    <row r="88" spans="1:14" x14ac:dyDescent="0.3">
      <c r="A88" t="s">
        <v>123</v>
      </c>
      <c r="B88" s="1">
        <v>45013</v>
      </c>
      <c r="C88" t="s">
        <v>26</v>
      </c>
      <c r="D88" t="s">
        <v>15</v>
      </c>
      <c r="E88" t="s">
        <v>26</v>
      </c>
      <c r="F88">
        <v>2</v>
      </c>
      <c r="G88">
        <v>3976</v>
      </c>
      <c r="H88">
        <v>7952</v>
      </c>
      <c r="I88" t="s">
        <v>16</v>
      </c>
      <c r="J88" t="s">
        <v>40</v>
      </c>
      <c r="K88" t="s">
        <v>18</v>
      </c>
      <c r="L88" t="s">
        <v>23</v>
      </c>
      <c r="M88" t="s">
        <v>28</v>
      </c>
      <c r="N88" t="str">
        <f t="shared" si="3"/>
        <v>Low Sales</v>
      </c>
    </row>
    <row r="89" spans="1:14" x14ac:dyDescent="0.3">
      <c r="A89" t="s">
        <v>124</v>
      </c>
      <c r="B89" s="1">
        <v>45014</v>
      </c>
      <c r="C89" t="s">
        <v>46</v>
      </c>
      <c r="D89" t="s">
        <v>39</v>
      </c>
      <c r="E89" t="s">
        <v>39</v>
      </c>
      <c r="F89">
        <v>1</v>
      </c>
      <c r="G89">
        <v>2959</v>
      </c>
      <c r="H89">
        <v>2959</v>
      </c>
      <c r="I89" t="s">
        <v>16</v>
      </c>
      <c r="J89" t="s">
        <v>27</v>
      </c>
      <c r="K89" t="s">
        <v>18</v>
      </c>
      <c r="L89" t="s">
        <v>23</v>
      </c>
      <c r="M89" t="s">
        <v>50</v>
      </c>
      <c r="N89" t="str">
        <f t="shared" si="3"/>
        <v>Low Sales</v>
      </c>
    </row>
    <row r="90" spans="1:14" x14ac:dyDescent="0.3">
      <c r="A90" t="s">
        <v>125</v>
      </c>
      <c r="B90" s="1">
        <v>45015</v>
      </c>
      <c r="C90" t="s">
        <v>26</v>
      </c>
      <c r="D90" t="s">
        <v>15</v>
      </c>
      <c r="E90" t="s">
        <v>26</v>
      </c>
      <c r="F90">
        <v>4</v>
      </c>
      <c r="G90">
        <v>6759</v>
      </c>
      <c r="H90">
        <v>27036</v>
      </c>
      <c r="I90" t="s">
        <v>32</v>
      </c>
      <c r="J90" t="s">
        <v>17</v>
      </c>
      <c r="K90" t="s">
        <v>18</v>
      </c>
      <c r="L90" t="s">
        <v>41</v>
      </c>
      <c r="M90" t="s">
        <v>24</v>
      </c>
      <c r="N90" t="str">
        <f t="shared" si="3"/>
        <v>High Sales</v>
      </c>
    </row>
    <row r="91" spans="1:14" x14ac:dyDescent="0.3">
      <c r="A91" t="s">
        <v>126</v>
      </c>
      <c r="B91" s="1">
        <v>45016</v>
      </c>
      <c r="C91" t="s">
        <v>14</v>
      </c>
      <c r="D91" t="s">
        <v>15</v>
      </c>
      <c r="E91" t="s">
        <v>14</v>
      </c>
      <c r="F91">
        <v>2</v>
      </c>
      <c r="G91">
        <v>7694</v>
      </c>
      <c r="H91">
        <v>15388</v>
      </c>
      <c r="I91" t="s">
        <v>16</v>
      </c>
      <c r="J91" t="s">
        <v>33</v>
      </c>
      <c r="K91" t="s">
        <v>18</v>
      </c>
      <c r="L91" t="s">
        <v>19</v>
      </c>
      <c r="M91" t="s">
        <v>24</v>
      </c>
      <c r="N91" t="str">
        <f t="shared" si="3"/>
        <v>High Sales</v>
      </c>
    </row>
    <row r="92" spans="1:14" x14ac:dyDescent="0.3">
      <c r="A92" t="s">
        <v>127</v>
      </c>
      <c r="B92" s="1">
        <v>45017</v>
      </c>
      <c r="C92" t="s">
        <v>30</v>
      </c>
      <c r="D92" t="s">
        <v>15</v>
      </c>
      <c r="E92" t="s">
        <v>30</v>
      </c>
      <c r="F92">
        <v>4</v>
      </c>
      <c r="G92">
        <v>3385</v>
      </c>
      <c r="H92">
        <v>13540</v>
      </c>
      <c r="I92" t="s">
        <v>16</v>
      </c>
      <c r="J92" t="s">
        <v>27</v>
      </c>
      <c r="K92" t="s">
        <v>18</v>
      </c>
      <c r="L92" t="s">
        <v>23</v>
      </c>
      <c r="M92" t="s">
        <v>24</v>
      </c>
      <c r="N92" t="str">
        <f t="shared" si="3"/>
        <v>High Sales</v>
      </c>
    </row>
    <row r="93" spans="1:14" x14ac:dyDescent="0.3">
      <c r="A93" t="s">
        <v>128</v>
      </c>
      <c r="B93" s="1">
        <v>45018</v>
      </c>
      <c r="C93" t="s">
        <v>38</v>
      </c>
      <c r="D93" t="s">
        <v>39</v>
      </c>
      <c r="E93" t="s">
        <v>39</v>
      </c>
      <c r="F93">
        <v>4</v>
      </c>
      <c r="G93">
        <v>5736</v>
      </c>
      <c r="H93">
        <v>22944</v>
      </c>
      <c r="I93" t="s">
        <v>32</v>
      </c>
      <c r="J93" t="s">
        <v>33</v>
      </c>
      <c r="K93" t="s">
        <v>18</v>
      </c>
      <c r="L93" t="s">
        <v>34</v>
      </c>
      <c r="M93" t="s">
        <v>20</v>
      </c>
      <c r="N93" t="str">
        <f t="shared" si="3"/>
        <v>High Sales</v>
      </c>
    </row>
    <row r="94" spans="1:14" x14ac:dyDescent="0.3">
      <c r="A94" t="s">
        <v>129</v>
      </c>
      <c r="B94" s="1">
        <v>45019</v>
      </c>
      <c r="C94" t="s">
        <v>26</v>
      </c>
      <c r="D94" t="s">
        <v>15</v>
      </c>
      <c r="E94" t="s">
        <v>26</v>
      </c>
      <c r="F94">
        <v>2</v>
      </c>
      <c r="G94">
        <v>2802</v>
      </c>
      <c r="H94">
        <v>5604</v>
      </c>
      <c r="I94" t="s">
        <v>16</v>
      </c>
      <c r="J94" t="s">
        <v>27</v>
      </c>
      <c r="K94" t="s">
        <v>18</v>
      </c>
      <c r="L94" t="s">
        <v>43</v>
      </c>
      <c r="M94" t="s">
        <v>50</v>
      </c>
      <c r="N94" t="str">
        <f t="shared" si="3"/>
        <v>Low Sales</v>
      </c>
    </row>
    <row r="95" spans="1:14" x14ac:dyDescent="0.3">
      <c r="A95" t="s">
        <v>130</v>
      </c>
      <c r="B95" s="1">
        <v>45020</v>
      </c>
      <c r="C95" t="s">
        <v>30</v>
      </c>
      <c r="D95" t="s">
        <v>15</v>
      </c>
      <c r="E95" t="s">
        <v>30</v>
      </c>
      <c r="F95">
        <v>2</v>
      </c>
      <c r="G95">
        <v>9155</v>
      </c>
      <c r="H95">
        <v>18310</v>
      </c>
      <c r="I95" t="s">
        <v>32</v>
      </c>
      <c r="J95" t="s">
        <v>33</v>
      </c>
      <c r="K95" t="s">
        <v>18</v>
      </c>
      <c r="L95" t="s">
        <v>19</v>
      </c>
      <c r="M95" t="s">
        <v>20</v>
      </c>
      <c r="N95" t="str">
        <f t="shared" si="3"/>
        <v>High Sales</v>
      </c>
    </row>
    <row r="96" spans="1:14" x14ac:dyDescent="0.3">
      <c r="A96" t="s">
        <v>131</v>
      </c>
      <c r="B96" s="1">
        <v>45021</v>
      </c>
      <c r="C96" t="s">
        <v>46</v>
      </c>
      <c r="D96" t="s">
        <v>39</v>
      </c>
      <c r="E96" t="s">
        <v>39</v>
      </c>
      <c r="F96">
        <v>2</v>
      </c>
      <c r="G96">
        <v>9120</v>
      </c>
      <c r="H96">
        <v>18240</v>
      </c>
      <c r="I96" t="s">
        <v>16</v>
      </c>
      <c r="J96" t="s">
        <v>27</v>
      </c>
      <c r="K96" t="s">
        <v>18</v>
      </c>
      <c r="L96" t="s">
        <v>34</v>
      </c>
      <c r="M96" t="s">
        <v>20</v>
      </c>
      <c r="N96" t="str">
        <f t="shared" si="3"/>
        <v>High Sales</v>
      </c>
    </row>
    <row r="97" spans="1:14" x14ac:dyDescent="0.3">
      <c r="A97" t="s">
        <v>132</v>
      </c>
      <c r="B97" s="1">
        <v>45022</v>
      </c>
      <c r="C97" t="s">
        <v>46</v>
      </c>
      <c r="D97" t="s">
        <v>39</v>
      </c>
      <c r="E97" t="s">
        <v>39</v>
      </c>
      <c r="F97">
        <v>2</v>
      </c>
      <c r="G97">
        <v>7616</v>
      </c>
      <c r="H97">
        <v>15232</v>
      </c>
      <c r="I97" t="s">
        <v>16</v>
      </c>
      <c r="J97" t="s">
        <v>17</v>
      </c>
      <c r="K97" t="s">
        <v>18</v>
      </c>
      <c r="L97" t="s">
        <v>41</v>
      </c>
      <c r="M97" t="s">
        <v>20</v>
      </c>
      <c r="N97" t="str">
        <f t="shared" si="3"/>
        <v>High Sales</v>
      </c>
    </row>
    <row r="98" spans="1:14" x14ac:dyDescent="0.3">
      <c r="A98" t="s">
        <v>133</v>
      </c>
      <c r="B98" s="1">
        <v>45023</v>
      </c>
      <c r="C98" t="s">
        <v>46</v>
      </c>
      <c r="D98" t="s">
        <v>39</v>
      </c>
      <c r="E98" t="s">
        <v>39</v>
      </c>
      <c r="F98">
        <v>2</v>
      </c>
      <c r="G98">
        <v>6534</v>
      </c>
      <c r="H98">
        <v>13068</v>
      </c>
      <c r="I98" t="s">
        <v>16</v>
      </c>
      <c r="J98" t="s">
        <v>40</v>
      </c>
      <c r="K98" t="s">
        <v>18</v>
      </c>
      <c r="L98" t="s">
        <v>41</v>
      </c>
      <c r="M98" t="s">
        <v>28</v>
      </c>
      <c r="N98" t="str">
        <f t="shared" ref="N98:N129" si="4">IF(H98&gt;=10000,"High Sales","Low Sales")</f>
        <v>High Sales</v>
      </c>
    </row>
    <row r="99" spans="1:14" x14ac:dyDescent="0.3">
      <c r="A99" t="s">
        <v>134</v>
      </c>
      <c r="B99" s="1">
        <v>45024</v>
      </c>
      <c r="C99" t="s">
        <v>30</v>
      </c>
      <c r="D99" t="s">
        <v>15</v>
      </c>
      <c r="E99" t="s">
        <v>30</v>
      </c>
      <c r="F99">
        <v>4</v>
      </c>
      <c r="G99">
        <v>5061</v>
      </c>
      <c r="H99">
        <v>20244</v>
      </c>
      <c r="I99" t="s">
        <v>32</v>
      </c>
      <c r="J99" t="s">
        <v>33</v>
      </c>
      <c r="K99" t="s">
        <v>18</v>
      </c>
      <c r="L99" t="s">
        <v>23</v>
      </c>
      <c r="M99" t="s">
        <v>28</v>
      </c>
      <c r="N99" t="str">
        <f t="shared" si="4"/>
        <v>High Sales</v>
      </c>
    </row>
    <row r="100" spans="1:14" x14ac:dyDescent="0.3">
      <c r="A100" t="s">
        <v>135</v>
      </c>
      <c r="B100" s="1">
        <v>45025</v>
      </c>
      <c r="C100" t="s">
        <v>26</v>
      </c>
      <c r="D100" t="s">
        <v>15</v>
      </c>
      <c r="E100" t="s">
        <v>26</v>
      </c>
      <c r="F100">
        <v>2</v>
      </c>
      <c r="G100">
        <v>1262</v>
      </c>
      <c r="H100">
        <v>2524</v>
      </c>
      <c r="I100" t="s">
        <v>32</v>
      </c>
      <c r="J100" t="s">
        <v>27</v>
      </c>
      <c r="K100" t="s">
        <v>18</v>
      </c>
      <c r="L100" t="s">
        <v>41</v>
      </c>
      <c r="M100" t="s">
        <v>50</v>
      </c>
      <c r="N100" t="str">
        <f t="shared" si="4"/>
        <v>Low Sales</v>
      </c>
    </row>
    <row r="101" spans="1:14" x14ac:dyDescent="0.3">
      <c r="A101" t="s">
        <v>136</v>
      </c>
      <c r="B101" s="1">
        <v>45026</v>
      </c>
      <c r="C101" t="s">
        <v>30</v>
      </c>
      <c r="D101" t="s">
        <v>15</v>
      </c>
      <c r="E101" t="s">
        <v>30</v>
      </c>
      <c r="F101">
        <v>1</v>
      </c>
      <c r="G101">
        <v>7287</v>
      </c>
      <c r="H101">
        <v>7287</v>
      </c>
      <c r="I101" t="s">
        <v>32</v>
      </c>
      <c r="J101" t="s">
        <v>17</v>
      </c>
      <c r="K101" t="s">
        <v>18</v>
      </c>
      <c r="L101" t="s">
        <v>43</v>
      </c>
      <c r="M101" t="s">
        <v>50</v>
      </c>
      <c r="N101" t="str">
        <f t="shared" si="4"/>
        <v>Low Sales</v>
      </c>
    </row>
    <row r="102" spans="1:14" x14ac:dyDescent="0.3">
      <c r="A102" t="s">
        <v>137</v>
      </c>
      <c r="B102" s="1">
        <v>45027</v>
      </c>
      <c r="C102" t="s">
        <v>30</v>
      </c>
      <c r="D102" t="s">
        <v>15</v>
      </c>
      <c r="E102" t="s">
        <v>30</v>
      </c>
      <c r="F102">
        <v>3</v>
      </c>
      <c r="G102">
        <v>9815</v>
      </c>
      <c r="H102">
        <v>29445</v>
      </c>
      <c r="I102" t="s">
        <v>32</v>
      </c>
      <c r="J102" t="s">
        <v>17</v>
      </c>
      <c r="K102" t="s">
        <v>18</v>
      </c>
      <c r="L102" t="s">
        <v>34</v>
      </c>
      <c r="M102" t="s">
        <v>28</v>
      </c>
      <c r="N102" t="str">
        <f t="shared" si="4"/>
        <v>High Sales</v>
      </c>
    </row>
    <row r="103" spans="1:14" x14ac:dyDescent="0.3">
      <c r="A103" t="s">
        <v>138</v>
      </c>
      <c r="B103" s="1">
        <v>45028</v>
      </c>
      <c r="C103" t="s">
        <v>38</v>
      </c>
      <c r="D103" t="s">
        <v>39</v>
      </c>
      <c r="E103" t="s">
        <v>39</v>
      </c>
      <c r="F103">
        <v>2</v>
      </c>
      <c r="G103">
        <v>3049</v>
      </c>
      <c r="H103">
        <v>6098</v>
      </c>
      <c r="I103" t="s">
        <v>16</v>
      </c>
      <c r="J103" t="s">
        <v>40</v>
      </c>
      <c r="K103" t="s">
        <v>18</v>
      </c>
      <c r="L103" t="s">
        <v>19</v>
      </c>
      <c r="M103" t="s">
        <v>28</v>
      </c>
      <c r="N103" t="str">
        <f t="shared" si="4"/>
        <v>Low Sales</v>
      </c>
    </row>
    <row r="104" spans="1:14" x14ac:dyDescent="0.3">
      <c r="A104" t="s">
        <v>139</v>
      </c>
      <c r="B104" s="1">
        <v>45029</v>
      </c>
      <c r="C104" t="s">
        <v>38</v>
      </c>
      <c r="D104" t="s">
        <v>39</v>
      </c>
      <c r="E104" t="s">
        <v>39</v>
      </c>
      <c r="F104">
        <v>2</v>
      </c>
      <c r="G104">
        <v>6423</v>
      </c>
      <c r="H104">
        <v>12846</v>
      </c>
      <c r="I104" t="s">
        <v>32</v>
      </c>
      <c r="J104" t="s">
        <v>27</v>
      </c>
      <c r="K104" t="s">
        <v>18</v>
      </c>
      <c r="L104" t="s">
        <v>23</v>
      </c>
      <c r="M104" t="s">
        <v>20</v>
      </c>
      <c r="N104" t="str">
        <f t="shared" si="4"/>
        <v>High Sales</v>
      </c>
    </row>
    <row r="105" spans="1:14" x14ac:dyDescent="0.3">
      <c r="A105" t="s">
        <v>140</v>
      </c>
      <c r="B105" s="1">
        <v>45030</v>
      </c>
      <c r="C105" t="s">
        <v>26</v>
      </c>
      <c r="D105" t="s">
        <v>15</v>
      </c>
      <c r="E105" t="s">
        <v>26</v>
      </c>
      <c r="F105">
        <v>4</v>
      </c>
      <c r="G105">
        <v>5548</v>
      </c>
      <c r="H105">
        <v>22192</v>
      </c>
      <c r="I105" t="s">
        <v>32</v>
      </c>
      <c r="J105" t="s">
        <v>33</v>
      </c>
      <c r="K105" t="s">
        <v>18</v>
      </c>
      <c r="L105" t="s">
        <v>19</v>
      </c>
      <c r="M105" t="s">
        <v>24</v>
      </c>
      <c r="N105" t="str">
        <f t="shared" si="4"/>
        <v>High Sales</v>
      </c>
    </row>
    <row r="106" spans="1:14" x14ac:dyDescent="0.3">
      <c r="A106" t="s">
        <v>141</v>
      </c>
      <c r="B106" s="1">
        <v>45031</v>
      </c>
      <c r="C106" t="s">
        <v>38</v>
      </c>
      <c r="D106" t="s">
        <v>39</v>
      </c>
      <c r="E106" t="s">
        <v>39</v>
      </c>
      <c r="F106">
        <v>2</v>
      </c>
      <c r="G106">
        <v>4108</v>
      </c>
      <c r="H106">
        <v>8216</v>
      </c>
      <c r="I106" t="s">
        <v>32</v>
      </c>
      <c r="J106" t="s">
        <v>22</v>
      </c>
      <c r="K106" t="s">
        <v>18</v>
      </c>
      <c r="L106" t="s">
        <v>34</v>
      </c>
      <c r="M106" t="s">
        <v>24</v>
      </c>
      <c r="N106" t="str">
        <f t="shared" si="4"/>
        <v>Low Sales</v>
      </c>
    </row>
    <row r="107" spans="1:14" x14ac:dyDescent="0.3">
      <c r="A107" t="s">
        <v>142</v>
      </c>
      <c r="B107" s="1">
        <v>45032</v>
      </c>
      <c r="C107" t="s">
        <v>46</v>
      </c>
      <c r="D107" t="s">
        <v>39</v>
      </c>
      <c r="E107" t="s">
        <v>39</v>
      </c>
      <c r="F107">
        <v>2</v>
      </c>
      <c r="G107">
        <v>8158</v>
      </c>
      <c r="H107">
        <v>16316</v>
      </c>
      <c r="I107" t="s">
        <v>16</v>
      </c>
      <c r="J107" t="s">
        <v>17</v>
      </c>
      <c r="K107" t="s">
        <v>18</v>
      </c>
      <c r="L107" t="s">
        <v>43</v>
      </c>
      <c r="M107" t="s">
        <v>24</v>
      </c>
      <c r="N107" t="str">
        <f t="shared" si="4"/>
        <v>High Sales</v>
      </c>
    </row>
    <row r="108" spans="1:14" x14ac:dyDescent="0.3">
      <c r="A108" t="s">
        <v>143</v>
      </c>
      <c r="B108" s="1">
        <v>45033</v>
      </c>
      <c r="C108" t="s">
        <v>38</v>
      </c>
      <c r="D108" t="s">
        <v>39</v>
      </c>
      <c r="E108" t="s">
        <v>39</v>
      </c>
      <c r="F108">
        <v>2</v>
      </c>
      <c r="G108">
        <v>8400</v>
      </c>
      <c r="H108">
        <v>16800</v>
      </c>
      <c r="I108" t="s">
        <v>16</v>
      </c>
      <c r="J108" t="s">
        <v>17</v>
      </c>
      <c r="K108" t="s">
        <v>18</v>
      </c>
      <c r="L108" t="s">
        <v>34</v>
      </c>
      <c r="M108" t="s">
        <v>24</v>
      </c>
      <c r="N108" t="str">
        <f t="shared" si="4"/>
        <v>High Sales</v>
      </c>
    </row>
    <row r="109" spans="1:14" x14ac:dyDescent="0.3">
      <c r="A109" t="s">
        <v>144</v>
      </c>
      <c r="B109" s="1">
        <v>45034</v>
      </c>
      <c r="C109" t="s">
        <v>46</v>
      </c>
      <c r="D109" t="s">
        <v>39</v>
      </c>
      <c r="E109" t="s">
        <v>39</v>
      </c>
      <c r="F109">
        <v>4</v>
      </c>
      <c r="G109">
        <v>4170</v>
      </c>
      <c r="H109">
        <v>16680</v>
      </c>
      <c r="I109" t="s">
        <v>16</v>
      </c>
      <c r="J109" t="s">
        <v>40</v>
      </c>
      <c r="K109" t="s">
        <v>18</v>
      </c>
      <c r="L109" t="s">
        <v>34</v>
      </c>
      <c r="M109" t="s">
        <v>24</v>
      </c>
      <c r="N109" t="str">
        <f t="shared" si="4"/>
        <v>High Sales</v>
      </c>
    </row>
    <row r="110" spans="1:14" x14ac:dyDescent="0.3">
      <c r="A110" t="s">
        <v>145</v>
      </c>
      <c r="B110" s="1">
        <v>45035</v>
      </c>
      <c r="C110" t="s">
        <v>26</v>
      </c>
      <c r="D110" t="s">
        <v>15</v>
      </c>
      <c r="E110" t="s">
        <v>26</v>
      </c>
      <c r="F110">
        <v>2</v>
      </c>
      <c r="G110">
        <v>3255</v>
      </c>
      <c r="H110">
        <v>6510</v>
      </c>
      <c r="I110" t="s">
        <v>16</v>
      </c>
      <c r="J110" t="s">
        <v>27</v>
      </c>
      <c r="K110" t="s">
        <v>18</v>
      </c>
      <c r="L110" t="s">
        <v>23</v>
      </c>
      <c r="M110" t="s">
        <v>20</v>
      </c>
      <c r="N110" t="str">
        <f t="shared" si="4"/>
        <v>Low Sales</v>
      </c>
    </row>
    <row r="111" spans="1:14" x14ac:dyDescent="0.3">
      <c r="A111" t="s">
        <v>146</v>
      </c>
      <c r="B111" s="1">
        <v>45036</v>
      </c>
      <c r="C111" t="s">
        <v>30</v>
      </c>
      <c r="D111" t="s">
        <v>15</v>
      </c>
      <c r="E111" t="s">
        <v>30</v>
      </c>
      <c r="F111">
        <v>3</v>
      </c>
      <c r="G111">
        <v>2154</v>
      </c>
      <c r="H111">
        <v>6462</v>
      </c>
      <c r="I111" t="s">
        <v>16</v>
      </c>
      <c r="J111" t="s">
        <v>22</v>
      </c>
      <c r="K111" t="s">
        <v>18</v>
      </c>
      <c r="L111" t="s">
        <v>19</v>
      </c>
      <c r="M111" t="s">
        <v>50</v>
      </c>
      <c r="N111" t="str">
        <f t="shared" si="4"/>
        <v>Low Sales</v>
      </c>
    </row>
    <row r="112" spans="1:14" x14ac:dyDescent="0.3">
      <c r="A112" t="s">
        <v>147</v>
      </c>
      <c r="B112" s="1">
        <v>45037</v>
      </c>
      <c r="C112" t="s">
        <v>30</v>
      </c>
      <c r="D112" t="s">
        <v>15</v>
      </c>
      <c r="E112" t="s">
        <v>30</v>
      </c>
      <c r="F112">
        <v>4</v>
      </c>
      <c r="G112">
        <v>5499</v>
      </c>
      <c r="H112">
        <v>21996</v>
      </c>
      <c r="I112" t="s">
        <v>32</v>
      </c>
      <c r="J112" t="s">
        <v>22</v>
      </c>
      <c r="K112" t="s">
        <v>18</v>
      </c>
      <c r="L112" t="s">
        <v>34</v>
      </c>
      <c r="M112" t="s">
        <v>28</v>
      </c>
      <c r="N112" t="str">
        <f t="shared" si="4"/>
        <v>High Sales</v>
      </c>
    </row>
    <row r="113" spans="1:14" x14ac:dyDescent="0.3">
      <c r="A113" t="s">
        <v>148</v>
      </c>
      <c r="B113" s="1">
        <v>45038</v>
      </c>
      <c r="C113" t="s">
        <v>38</v>
      </c>
      <c r="D113" t="s">
        <v>39</v>
      </c>
      <c r="E113" t="s">
        <v>39</v>
      </c>
      <c r="F113">
        <v>3</v>
      </c>
      <c r="G113">
        <v>7295</v>
      </c>
      <c r="H113">
        <v>21885</v>
      </c>
      <c r="I113" t="s">
        <v>32</v>
      </c>
      <c r="J113" t="s">
        <v>22</v>
      </c>
      <c r="K113" t="s">
        <v>18</v>
      </c>
      <c r="L113" t="s">
        <v>34</v>
      </c>
      <c r="M113" t="s">
        <v>20</v>
      </c>
      <c r="N113" t="str">
        <f t="shared" si="4"/>
        <v>High Sales</v>
      </c>
    </row>
    <row r="114" spans="1:14" x14ac:dyDescent="0.3">
      <c r="A114" t="s">
        <v>149</v>
      </c>
      <c r="B114" s="1">
        <v>45039</v>
      </c>
      <c r="C114" t="s">
        <v>46</v>
      </c>
      <c r="D114" t="s">
        <v>39</v>
      </c>
      <c r="E114" t="s">
        <v>39</v>
      </c>
      <c r="F114">
        <v>4</v>
      </c>
      <c r="G114">
        <v>7197</v>
      </c>
      <c r="H114">
        <v>28788</v>
      </c>
      <c r="I114" t="s">
        <v>16</v>
      </c>
      <c r="J114" t="s">
        <v>27</v>
      </c>
      <c r="K114" t="s">
        <v>18</v>
      </c>
      <c r="L114" t="s">
        <v>43</v>
      </c>
      <c r="M114" t="s">
        <v>24</v>
      </c>
      <c r="N114" t="str">
        <f t="shared" si="4"/>
        <v>High Sales</v>
      </c>
    </row>
    <row r="115" spans="1:14" x14ac:dyDescent="0.3">
      <c r="A115" t="s">
        <v>150</v>
      </c>
      <c r="B115" s="1">
        <v>45040</v>
      </c>
      <c r="C115" t="s">
        <v>14</v>
      </c>
      <c r="D115" t="s">
        <v>15</v>
      </c>
      <c r="E115" t="s">
        <v>14</v>
      </c>
      <c r="F115">
        <v>2</v>
      </c>
      <c r="G115">
        <v>2648</v>
      </c>
      <c r="H115">
        <v>5296</v>
      </c>
      <c r="I115" t="s">
        <v>16</v>
      </c>
      <c r="J115" t="s">
        <v>33</v>
      </c>
      <c r="K115" t="s">
        <v>18</v>
      </c>
      <c r="L115" t="s">
        <v>41</v>
      </c>
      <c r="M115" t="s">
        <v>28</v>
      </c>
      <c r="N115" t="str">
        <f t="shared" si="4"/>
        <v>Low Sales</v>
      </c>
    </row>
    <row r="116" spans="1:14" x14ac:dyDescent="0.3">
      <c r="A116" t="s">
        <v>151</v>
      </c>
      <c r="B116" s="1">
        <v>45041</v>
      </c>
      <c r="C116" t="s">
        <v>14</v>
      </c>
      <c r="D116" t="s">
        <v>15</v>
      </c>
      <c r="E116" t="s">
        <v>14</v>
      </c>
      <c r="F116">
        <v>3</v>
      </c>
      <c r="G116">
        <v>6539</v>
      </c>
      <c r="H116">
        <v>19617</v>
      </c>
      <c r="I116" t="s">
        <v>32</v>
      </c>
      <c r="J116" t="s">
        <v>17</v>
      </c>
      <c r="K116" t="s">
        <v>18</v>
      </c>
      <c r="L116" t="s">
        <v>43</v>
      </c>
      <c r="M116" t="s">
        <v>20</v>
      </c>
      <c r="N116" t="str">
        <f t="shared" si="4"/>
        <v>High Sales</v>
      </c>
    </row>
    <row r="117" spans="1:14" x14ac:dyDescent="0.3">
      <c r="A117" t="s">
        <v>152</v>
      </c>
      <c r="B117" s="1">
        <v>45042</v>
      </c>
      <c r="C117" t="s">
        <v>14</v>
      </c>
      <c r="D117" t="s">
        <v>15</v>
      </c>
      <c r="E117" t="s">
        <v>14</v>
      </c>
      <c r="F117">
        <v>4</v>
      </c>
      <c r="G117">
        <v>5199</v>
      </c>
      <c r="H117">
        <v>20796</v>
      </c>
      <c r="I117" t="s">
        <v>16</v>
      </c>
      <c r="J117" t="s">
        <v>27</v>
      </c>
      <c r="K117" t="s">
        <v>18</v>
      </c>
      <c r="L117" t="s">
        <v>19</v>
      </c>
      <c r="M117" t="s">
        <v>24</v>
      </c>
      <c r="N117" t="str">
        <f t="shared" si="4"/>
        <v>High Sales</v>
      </c>
    </row>
    <row r="118" spans="1:14" x14ac:dyDescent="0.3">
      <c r="A118" t="s">
        <v>153</v>
      </c>
      <c r="B118" s="1">
        <v>45043</v>
      </c>
      <c r="C118" t="s">
        <v>30</v>
      </c>
      <c r="D118" t="s">
        <v>15</v>
      </c>
      <c r="E118" t="s">
        <v>30</v>
      </c>
      <c r="F118">
        <v>1</v>
      </c>
      <c r="G118">
        <v>9445</v>
      </c>
      <c r="H118">
        <v>9445</v>
      </c>
      <c r="I118" t="s">
        <v>16</v>
      </c>
      <c r="J118" t="s">
        <v>22</v>
      </c>
      <c r="K118" t="s">
        <v>18</v>
      </c>
      <c r="L118" t="s">
        <v>19</v>
      </c>
      <c r="M118" t="s">
        <v>20</v>
      </c>
      <c r="N118" t="str">
        <f t="shared" si="4"/>
        <v>Low Sales</v>
      </c>
    </row>
    <row r="119" spans="1:14" x14ac:dyDescent="0.3">
      <c r="A119" t="s">
        <v>154</v>
      </c>
      <c r="B119" s="1">
        <v>45044</v>
      </c>
      <c r="C119" t="s">
        <v>30</v>
      </c>
      <c r="D119" t="s">
        <v>15</v>
      </c>
      <c r="E119" t="s">
        <v>30</v>
      </c>
      <c r="F119">
        <v>2</v>
      </c>
      <c r="G119">
        <v>3557</v>
      </c>
      <c r="H119">
        <v>7114</v>
      </c>
      <c r="I119" t="s">
        <v>32</v>
      </c>
      <c r="J119" t="s">
        <v>17</v>
      </c>
      <c r="K119" t="s">
        <v>18</v>
      </c>
      <c r="L119" t="s">
        <v>23</v>
      </c>
      <c r="M119" t="s">
        <v>28</v>
      </c>
      <c r="N119" t="str">
        <f t="shared" si="4"/>
        <v>Low Sales</v>
      </c>
    </row>
    <row r="120" spans="1:14" x14ac:dyDescent="0.3">
      <c r="A120" t="s">
        <v>155</v>
      </c>
      <c r="B120" s="1">
        <v>45045</v>
      </c>
      <c r="C120" t="s">
        <v>46</v>
      </c>
      <c r="D120" t="s">
        <v>39</v>
      </c>
      <c r="E120" t="s">
        <v>39</v>
      </c>
      <c r="F120">
        <v>4</v>
      </c>
      <c r="G120">
        <v>6592</v>
      </c>
      <c r="H120">
        <v>26368</v>
      </c>
      <c r="I120" t="s">
        <v>16</v>
      </c>
      <c r="J120" t="s">
        <v>17</v>
      </c>
      <c r="K120" t="s">
        <v>18</v>
      </c>
      <c r="L120" t="s">
        <v>41</v>
      </c>
      <c r="M120" t="s">
        <v>50</v>
      </c>
      <c r="N120" t="str">
        <f t="shared" si="4"/>
        <v>High Sales</v>
      </c>
    </row>
    <row r="121" spans="1:14" x14ac:dyDescent="0.3">
      <c r="A121" t="s">
        <v>156</v>
      </c>
      <c r="B121" s="1">
        <v>45046</v>
      </c>
      <c r="C121" t="s">
        <v>38</v>
      </c>
      <c r="D121" t="s">
        <v>39</v>
      </c>
      <c r="E121" t="s">
        <v>39</v>
      </c>
      <c r="F121">
        <v>1</v>
      </c>
      <c r="G121">
        <v>1098</v>
      </c>
      <c r="H121">
        <v>1098</v>
      </c>
      <c r="I121" t="s">
        <v>16</v>
      </c>
      <c r="J121" t="s">
        <v>22</v>
      </c>
      <c r="K121" t="s">
        <v>18</v>
      </c>
      <c r="L121" t="s">
        <v>19</v>
      </c>
      <c r="M121" t="s">
        <v>24</v>
      </c>
      <c r="N121" t="str">
        <f t="shared" si="4"/>
        <v>Low Sales</v>
      </c>
    </row>
    <row r="122" spans="1:14" x14ac:dyDescent="0.3">
      <c r="A122" t="s">
        <v>157</v>
      </c>
      <c r="B122" s="1">
        <v>45047</v>
      </c>
      <c r="C122" t="s">
        <v>14</v>
      </c>
      <c r="D122" t="s">
        <v>15</v>
      </c>
      <c r="E122" t="s">
        <v>14</v>
      </c>
      <c r="F122">
        <v>4</v>
      </c>
      <c r="G122">
        <v>3200</v>
      </c>
      <c r="H122">
        <v>12800</v>
      </c>
      <c r="I122" t="s">
        <v>16</v>
      </c>
      <c r="J122" t="s">
        <v>22</v>
      </c>
      <c r="K122" t="s">
        <v>18</v>
      </c>
      <c r="L122" t="s">
        <v>41</v>
      </c>
      <c r="M122" t="s">
        <v>28</v>
      </c>
      <c r="N122" t="str">
        <f t="shared" si="4"/>
        <v>High Sales</v>
      </c>
    </row>
    <row r="123" spans="1:14" x14ac:dyDescent="0.3">
      <c r="A123" t="s">
        <v>158</v>
      </c>
      <c r="B123" s="1">
        <v>45048</v>
      </c>
      <c r="C123" t="s">
        <v>46</v>
      </c>
      <c r="D123" t="s">
        <v>39</v>
      </c>
      <c r="E123" t="s">
        <v>39</v>
      </c>
      <c r="F123">
        <v>1</v>
      </c>
      <c r="G123">
        <v>3961</v>
      </c>
      <c r="H123">
        <v>3961</v>
      </c>
      <c r="I123" t="s">
        <v>16</v>
      </c>
      <c r="J123" t="s">
        <v>17</v>
      </c>
      <c r="K123" t="s">
        <v>18</v>
      </c>
      <c r="L123" t="s">
        <v>43</v>
      </c>
      <c r="M123" t="s">
        <v>28</v>
      </c>
      <c r="N123" t="str">
        <f t="shared" si="4"/>
        <v>Low Sales</v>
      </c>
    </row>
    <row r="124" spans="1:14" x14ac:dyDescent="0.3">
      <c r="A124" t="s">
        <v>159</v>
      </c>
      <c r="B124" s="1">
        <v>45049</v>
      </c>
      <c r="C124" t="s">
        <v>46</v>
      </c>
      <c r="D124" t="s">
        <v>39</v>
      </c>
      <c r="E124" t="s">
        <v>39</v>
      </c>
      <c r="F124">
        <v>2</v>
      </c>
      <c r="G124">
        <v>5973</v>
      </c>
      <c r="H124">
        <v>11946</v>
      </c>
      <c r="I124" t="s">
        <v>32</v>
      </c>
      <c r="J124" t="s">
        <v>40</v>
      </c>
      <c r="K124" t="s">
        <v>18</v>
      </c>
      <c r="L124" t="s">
        <v>19</v>
      </c>
      <c r="M124" t="s">
        <v>50</v>
      </c>
      <c r="N124" t="str">
        <f t="shared" si="4"/>
        <v>High Sales</v>
      </c>
    </row>
    <row r="125" spans="1:14" x14ac:dyDescent="0.3">
      <c r="A125" t="s">
        <v>160</v>
      </c>
      <c r="B125" s="1">
        <v>45050</v>
      </c>
      <c r="C125" t="s">
        <v>38</v>
      </c>
      <c r="D125" t="s">
        <v>39</v>
      </c>
      <c r="E125" t="s">
        <v>39</v>
      </c>
      <c r="F125">
        <v>3</v>
      </c>
      <c r="G125">
        <v>5433</v>
      </c>
      <c r="H125">
        <v>16299</v>
      </c>
      <c r="I125" t="s">
        <v>16</v>
      </c>
      <c r="J125" t="s">
        <v>17</v>
      </c>
      <c r="K125" t="s">
        <v>18</v>
      </c>
      <c r="L125" t="s">
        <v>34</v>
      </c>
      <c r="M125" t="s">
        <v>20</v>
      </c>
      <c r="N125" t="str">
        <f t="shared" si="4"/>
        <v>High Sales</v>
      </c>
    </row>
    <row r="126" spans="1:14" x14ac:dyDescent="0.3">
      <c r="A126" t="s">
        <v>161</v>
      </c>
      <c r="B126" s="1">
        <v>45051</v>
      </c>
      <c r="C126" t="s">
        <v>46</v>
      </c>
      <c r="D126" t="s">
        <v>39</v>
      </c>
      <c r="E126" t="s">
        <v>39</v>
      </c>
      <c r="F126">
        <v>1</v>
      </c>
      <c r="G126">
        <v>3869</v>
      </c>
      <c r="H126">
        <v>3869</v>
      </c>
      <c r="I126" t="s">
        <v>32</v>
      </c>
      <c r="J126" t="s">
        <v>33</v>
      </c>
      <c r="K126" t="s">
        <v>18</v>
      </c>
      <c r="L126" t="s">
        <v>19</v>
      </c>
      <c r="M126" t="s">
        <v>50</v>
      </c>
      <c r="N126" t="str">
        <f t="shared" si="4"/>
        <v>Low Sales</v>
      </c>
    </row>
    <row r="127" spans="1:14" x14ac:dyDescent="0.3">
      <c r="A127" t="s">
        <v>162</v>
      </c>
      <c r="B127" s="1">
        <v>45052</v>
      </c>
      <c r="C127" t="s">
        <v>38</v>
      </c>
      <c r="D127" t="s">
        <v>39</v>
      </c>
      <c r="E127" t="s">
        <v>39</v>
      </c>
      <c r="F127">
        <v>4</v>
      </c>
      <c r="G127">
        <v>1956</v>
      </c>
      <c r="H127">
        <v>7824</v>
      </c>
      <c r="I127" t="s">
        <v>16</v>
      </c>
      <c r="J127" t="s">
        <v>33</v>
      </c>
      <c r="K127" t="s">
        <v>18</v>
      </c>
      <c r="L127" t="s">
        <v>41</v>
      </c>
      <c r="M127" t="s">
        <v>50</v>
      </c>
      <c r="N127" t="str">
        <f t="shared" si="4"/>
        <v>Low Sales</v>
      </c>
    </row>
    <row r="128" spans="1:14" x14ac:dyDescent="0.3">
      <c r="A128" t="s">
        <v>163</v>
      </c>
      <c r="B128" s="1">
        <v>45053</v>
      </c>
      <c r="C128" t="s">
        <v>26</v>
      </c>
      <c r="D128" t="s">
        <v>15</v>
      </c>
      <c r="E128" t="s">
        <v>26</v>
      </c>
      <c r="F128">
        <v>2</v>
      </c>
      <c r="G128">
        <v>9352</v>
      </c>
      <c r="H128">
        <v>18704</v>
      </c>
      <c r="I128" t="s">
        <v>16</v>
      </c>
      <c r="J128" t="s">
        <v>40</v>
      </c>
      <c r="K128" t="s">
        <v>18</v>
      </c>
      <c r="L128" t="s">
        <v>19</v>
      </c>
      <c r="M128" t="s">
        <v>20</v>
      </c>
      <c r="N128" t="str">
        <f t="shared" si="4"/>
        <v>High Sales</v>
      </c>
    </row>
    <row r="129" spans="1:14" x14ac:dyDescent="0.3">
      <c r="A129" t="s">
        <v>164</v>
      </c>
      <c r="B129" s="1">
        <v>45054</v>
      </c>
      <c r="C129" t="s">
        <v>38</v>
      </c>
      <c r="D129" t="s">
        <v>39</v>
      </c>
      <c r="E129" t="s">
        <v>39</v>
      </c>
      <c r="F129">
        <v>1</v>
      </c>
      <c r="G129">
        <v>6699</v>
      </c>
      <c r="H129">
        <v>6699</v>
      </c>
      <c r="I129" t="s">
        <v>16</v>
      </c>
      <c r="J129" t="s">
        <v>27</v>
      </c>
      <c r="K129" t="s">
        <v>18</v>
      </c>
      <c r="L129" t="s">
        <v>23</v>
      </c>
      <c r="M129" t="s">
        <v>20</v>
      </c>
      <c r="N129" t="str">
        <f t="shared" si="4"/>
        <v>Low Sales</v>
      </c>
    </row>
    <row r="130" spans="1:14" x14ac:dyDescent="0.3">
      <c r="A130" t="s">
        <v>165</v>
      </c>
      <c r="B130" s="1">
        <v>45055</v>
      </c>
      <c r="C130" t="s">
        <v>14</v>
      </c>
      <c r="D130" t="s">
        <v>15</v>
      </c>
      <c r="E130" t="s">
        <v>14</v>
      </c>
      <c r="F130">
        <v>4</v>
      </c>
      <c r="G130">
        <v>7944</v>
      </c>
      <c r="H130">
        <v>31776</v>
      </c>
      <c r="I130" t="s">
        <v>32</v>
      </c>
      <c r="J130" t="s">
        <v>17</v>
      </c>
      <c r="K130" t="s">
        <v>18</v>
      </c>
      <c r="L130" t="s">
        <v>34</v>
      </c>
      <c r="M130" t="s">
        <v>20</v>
      </c>
      <c r="N130" t="str">
        <f t="shared" ref="N130:N161" si="5">IF(H130&gt;=10000,"High Sales","Low Sales")</f>
        <v>High Sales</v>
      </c>
    </row>
    <row r="131" spans="1:14" x14ac:dyDescent="0.3">
      <c r="A131" t="s">
        <v>166</v>
      </c>
      <c r="B131" s="1">
        <v>45056</v>
      </c>
      <c r="C131" t="s">
        <v>14</v>
      </c>
      <c r="D131" t="s">
        <v>15</v>
      </c>
      <c r="E131" t="s">
        <v>14</v>
      </c>
      <c r="F131">
        <v>4</v>
      </c>
      <c r="G131">
        <v>5493</v>
      </c>
      <c r="H131">
        <v>21972</v>
      </c>
      <c r="I131" t="s">
        <v>16</v>
      </c>
      <c r="J131" t="s">
        <v>33</v>
      </c>
      <c r="K131" t="s">
        <v>18</v>
      </c>
      <c r="L131" t="s">
        <v>23</v>
      </c>
      <c r="M131" t="s">
        <v>28</v>
      </c>
      <c r="N131" t="str">
        <f t="shared" si="5"/>
        <v>High Sales</v>
      </c>
    </row>
    <row r="132" spans="1:14" x14ac:dyDescent="0.3">
      <c r="A132" t="s">
        <v>167</v>
      </c>
      <c r="B132" s="1">
        <v>45057</v>
      </c>
      <c r="C132" t="s">
        <v>38</v>
      </c>
      <c r="D132" t="s">
        <v>39</v>
      </c>
      <c r="E132" t="s">
        <v>39</v>
      </c>
      <c r="F132">
        <v>4</v>
      </c>
      <c r="G132">
        <v>5911</v>
      </c>
      <c r="H132">
        <v>23644</v>
      </c>
      <c r="I132" t="s">
        <v>16</v>
      </c>
      <c r="J132" t="s">
        <v>17</v>
      </c>
      <c r="K132" t="s">
        <v>18</v>
      </c>
      <c r="L132" t="s">
        <v>43</v>
      </c>
      <c r="M132" t="s">
        <v>28</v>
      </c>
      <c r="N132" t="str">
        <f t="shared" si="5"/>
        <v>High Sales</v>
      </c>
    </row>
    <row r="133" spans="1:14" x14ac:dyDescent="0.3">
      <c r="A133" t="s">
        <v>168</v>
      </c>
      <c r="B133" s="1">
        <v>45058</v>
      </c>
      <c r="C133" t="s">
        <v>26</v>
      </c>
      <c r="D133" t="s">
        <v>15</v>
      </c>
      <c r="E133" t="s">
        <v>26</v>
      </c>
      <c r="F133">
        <v>1</v>
      </c>
      <c r="G133">
        <v>4987</v>
      </c>
      <c r="H133">
        <v>4987</v>
      </c>
      <c r="I133" t="s">
        <v>16</v>
      </c>
      <c r="J133" t="s">
        <v>40</v>
      </c>
      <c r="K133" t="s">
        <v>18</v>
      </c>
      <c r="L133" t="s">
        <v>19</v>
      </c>
      <c r="M133" t="s">
        <v>24</v>
      </c>
      <c r="N133" t="str">
        <f t="shared" si="5"/>
        <v>Low Sales</v>
      </c>
    </row>
    <row r="134" spans="1:14" x14ac:dyDescent="0.3">
      <c r="A134" t="s">
        <v>169</v>
      </c>
      <c r="B134" s="1">
        <v>45059</v>
      </c>
      <c r="C134" t="s">
        <v>26</v>
      </c>
      <c r="D134" t="s">
        <v>15</v>
      </c>
      <c r="E134" t="s">
        <v>26</v>
      </c>
      <c r="F134">
        <v>1</v>
      </c>
      <c r="G134">
        <v>7015</v>
      </c>
      <c r="H134">
        <v>7015</v>
      </c>
      <c r="I134" t="s">
        <v>32</v>
      </c>
      <c r="J134" t="s">
        <v>22</v>
      </c>
      <c r="K134" t="s">
        <v>18</v>
      </c>
      <c r="L134" t="s">
        <v>19</v>
      </c>
      <c r="M134" t="s">
        <v>24</v>
      </c>
      <c r="N134" t="str">
        <f t="shared" si="5"/>
        <v>Low Sales</v>
      </c>
    </row>
    <row r="135" spans="1:14" x14ac:dyDescent="0.3">
      <c r="A135" t="s">
        <v>170</v>
      </c>
      <c r="B135" s="1">
        <v>45060</v>
      </c>
      <c r="C135" t="s">
        <v>14</v>
      </c>
      <c r="D135" t="s">
        <v>15</v>
      </c>
      <c r="E135" t="s">
        <v>14</v>
      </c>
      <c r="F135">
        <v>1</v>
      </c>
      <c r="G135">
        <v>2218</v>
      </c>
      <c r="H135">
        <v>2218</v>
      </c>
      <c r="I135" t="s">
        <v>16</v>
      </c>
      <c r="J135" t="s">
        <v>40</v>
      </c>
      <c r="K135" t="s">
        <v>18</v>
      </c>
      <c r="L135" t="s">
        <v>43</v>
      </c>
      <c r="M135" t="s">
        <v>50</v>
      </c>
      <c r="N135" t="str">
        <f t="shared" si="5"/>
        <v>Low Sales</v>
      </c>
    </row>
    <row r="136" spans="1:14" x14ac:dyDescent="0.3">
      <c r="A136" t="s">
        <v>171</v>
      </c>
      <c r="B136" s="1">
        <v>45061</v>
      </c>
      <c r="C136" t="s">
        <v>26</v>
      </c>
      <c r="D136" t="s">
        <v>15</v>
      </c>
      <c r="E136" t="s">
        <v>26</v>
      </c>
      <c r="F136">
        <v>3</v>
      </c>
      <c r="G136">
        <v>5496</v>
      </c>
      <c r="H136">
        <v>16488</v>
      </c>
      <c r="I136" t="s">
        <v>32</v>
      </c>
      <c r="J136" t="s">
        <v>40</v>
      </c>
      <c r="K136" t="s">
        <v>18</v>
      </c>
      <c r="L136" t="s">
        <v>23</v>
      </c>
      <c r="M136" t="s">
        <v>50</v>
      </c>
      <c r="N136" t="str">
        <f t="shared" si="5"/>
        <v>High Sales</v>
      </c>
    </row>
    <row r="137" spans="1:14" x14ac:dyDescent="0.3">
      <c r="A137" t="s">
        <v>172</v>
      </c>
      <c r="B137" s="1">
        <v>45062</v>
      </c>
      <c r="C137" t="s">
        <v>46</v>
      </c>
      <c r="D137" t="s">
        <v>39</v>
      </c>
      <c r="E137" t="s">
        <v>39</v>
      </c>
      <c r="F137">
        <v>1</v>
      </c>
      <c r="G137">
        <v>5735</v>
      </c>
      <c r="H137">
        <v>5735</v>
      </c>
      <c r="I137" t="s">
        <v>32</v>
      </c>
      <c r="J137" t="s">
        <v>40</v>
      </c>
      <c r="K137" t="s">
        <v>18</v>
      </c>
      <c r="L137" t="s">
        <v>34</v>
      </c>
      <c r="M137" t="s">
        <v>24</v>
      </c>
      <c r="N137" t="str">
        <f t="shared" si="5"/>
        <v>Low Sales</v>
      </c>
    </row>
    <row r="138" spans="1:14" x14ac:dyDescent="0.3">
      <c r="A138" t="s">
        <v>173</v>
      </c>
      <c r="B138" s="1">
        <v>45063</v>
      </c>
      <c r="C138" t="s">
        <v>30</v>
      </c>
      <c r="D138" t="s">
        <v>15</v>
      </c>
      <c r="E138" t="s">
        <v>30</v>
      </c>
      <c r="F138">
        <v>1</v>
      </c>
      <c r="G138">
        <v>5555</v>
      </c>
      <c r="H138">
        <v>5555</v>
      </c>
      <c r="I138" t="s">
        <v>16</v>
      </c>
      <c r="J138" t="s">
        <v>33</v>
      </c>
      <c r="K138" t="s">
        <v>18</v>
      </c>
      <c r="L138" t="s">
        <v>23</v>
      </c>
      <c r="M138" t="s">
        <v>50</v>
      </c>
      <c r="N138" t="str">
        <f t="shared" si="5"/>
        <v>Low Sales</v>
      </c>
    </row>
    <row r="139" spans="1:14" x14ac:dyDescent="0.3">
      <c r="A139" t="s">
        <v>174</v>
      </c>
      <c r="B139" s="1">
        <v>45064</v>
      </c>
      <c r="C139" t="s">
        <v>46</v>
      </c>
      <c r="D139" t="s">
        <v>39</v>
      </c>
      <c r="E139" t="s">
        <v>39</v>
      </c>
      <c r="F139">
        <v>1</v>
      </c>
      <c r="G139">
        <v>9050</v>
      </c>
      <c r="H139">
        <v>9050</v>
      </c>
      <c r="I139" t="s">
        <v>32</v>
      </c>
      <c r="J139" t="s">
        <v>40</v>
      </c>
      <c r="K139" t="s">
        <v>18</v>
      </c>
      <c r="L139" t="s">
        <v>41</v>
      </c>
      <c r="M139" t="s">
        <v>20</v>
      </c>
      <c r="N139" t="str">
        <f t="shared" si="5"/>
        <v>Low Sales</v>
      </c>
    </row>
    <row r="140" spans="1:14" x14ac:dyDescent="0.3">
      <c r="A140" t="s">
        <v>175</v>
      </c>
      <c r="B140" s="1">
        <v>45065</v>
      </c>
      <c r="C140" t="s">
        <v>14</v>
      </c>
      <c r="D140" t="s">
        <v>15</v>
      </c>
      <c r="E140" t="s">
        <v>14</v>
      </c>
      <c r="F140">
        <v>3</v>
      </c>
      <c r="G140">
        <v>4446</v>
      </c>
      <c r="H140">
        <v>13338</v>
      </c>
      <c r="I140" t="s">
        <v>32</v>
      </c>
      <c r="J140" t="s">
        <v>22</v>
      </c>
      <c r="K140" t="s">
        <v>18</v>
      </c>
      <c r="L140" t="s">
        <v>23</v>
      </c>
      <c r="M140" t="s">
        <v>28</v>
      </c>
      <c r="N140" t="str">
        <f t="shared" si="5"/>
        <v>High Sales</v>
      </c>
    </row>
    <row r="141" spans="1:14" x14ac:dyDescent="0.3">
      <c r="A141" t="s">
        <v>176</v>
      </c>
      <c r="B141" s="1">
        <v>45066</v>
      </c>
      <c r="C141" t="s">
        <v>26</v>
      </c>
      <c r="D141" t="s">
        <v>15</v>
      </c>
      <c r="E141" t="s">
        <v>26</v>
      </c>
      <c r="F141">
        <v>1</v>
      </c>
      <c r="G141">
        <v>2045</v>
      </c>
      <c r="H141">
        <v>2045</v>
      </c>
      <c r="I141" t="s">
        <v>16</v>
      </c>
      <c r="J141" t="s">
        <v>22</v>
      </c>
      <c r="K141" t="s">
        <v>18</v>
      </c>
      <c r="L141" t="s">
        <v>34</v>
      </c>
      <c r="M141" t="s">
        <v>24</v>
      </c>
      <c r="N141" t="str">
        <f t="shared" si="5"/>
        <v>Low Sales</v>
      </c>
    </row>
    <row r="142" spans="1:14" x14ac:dyDescent="0.3">
      <c r="A142" t="s">
        <v>177</v>
      </c>
      <c r="B142" s="1">
        <v>45067</v>
      </c>
      <c r="C142" t="s">
        <v>38</v>
      </c>
      <c r="D142" t="s">
        <v>39</v>
      </c>
      <c r="E142" t="s">
        <v>39</v>
      </c>
      <c r="F142">
        <v>4</v>
      </c>
      <c r="G142">
        <v>7893</v>
      </c>
      <c r="H142">
        <v>31572</v>
      </c>
      <c r="I142" t="s">
        <v>32</v>
      </c>
      <c r="J142" t="s">
        <v>22</v>
      </c>
      <c r="K142" t="s">
        <v>18</v>
      </c>
      <c r="L142" t="s">
        <v>19</v>
      </c>
      <c r="M142" t="s">
        <v>28</v>
      </c>
      <c r="N142" t="str">
        <f t="shared" si="5"/>
        <v>High Sales</v>
      </c>
    </row>
    <row r="143" spans="1:14" x14ac:dyDescent="0.3">
      <c r="A143" t="s">
        <v>178</v>
      </c>
      <c r="B143" s="1">
        <v>45068</v>
      </c>
      <c r="C143" t="s">
        <v>30</v>
      </c>
      <c r="D143" t="s">
        <v>15</v>
      </c>
      <c r="E143" t="s">
        <v>30</v>
      </c>
      <c r="F143">
        <v>1</v>
      </c>
      <c r="G143">
        <v>2693</v>
      </c>
      <c r="H143">
        <v>2693</v>
      </c>
      <c r="I143" t="s">
        <v>16</v>
      </c>
      <c r="J143" t="s">
        <v>27</v>
      </c>
      <c r="K143" t="s">
        <v>18</v>
      </c>
      <c r="L143" t="s">
        <v>23</v>
      </c>
      <c r="M143" t="s">
        <v>24</v>
      </c>
      <c r="N143" t="str">
        <f t="shared" si="5"/>
        <v>Low Sales</v>
      </c>
    </row>
    <row r="144" spans="1:14" x14ac:dyDescent="0.3">
      <c r="A144" t="s">
        <v>179</v>
      </c>
      <c r="B144" s="1">
        <v>45069</v>
      </c>
      <c r="C144" t="s">
        <v>38</v>
      </c>
      <c r="D144" t="s">
        <v>39</v>
      </c>
      <c r="E144" t="s">
        <v>39</v>
      </c>
      <c r="F144">
        <v>4</v>
      </c>
      <c r="G144">
        <v>4436</v>
      </c>
      <c r="H144">
        <v>17744</v>
      </c>
      <c r="I144" t="s">
        <v>32</v>
      </c>
      <c r="J144" t="s">
        <v>40</v>
      </c>
      <c r="K144" t="s">
        <v>18</v>
      </c>
      <c r="L144" t="s">
        <v>43</v>
      </c>
      <c r="M144" t="s">
        <v>28</v>
      </c>
      <c r="N144" t="str">
        <f t="shared" si="5"/>
        <v>High Sales</v>
      </c>
    </row>
    <row r="145" spans="1:14" x14ac:dyDescent="0.3">
      <c r="A145" t="s">
        <v>180</v>
      </c>
      <c r="B145" s="1">
        <v>45070</v>
      </c>
      <c r="C145" t="s">
        <v>14</v>
      </c>
      <c r="D145" t="s">
        <v>15</v>
      </c>
      <c r="E145" t="s">
        <v>14</v>
      </c>
      <c r="F145">
        <v>4</v>
      </c>
      <c r="G145">
        <v>9754</v>
      </c>
      <c r="H145">
        <v>39016</v>
      </c>
      <c r="I145" t="s">
        <v>32</v>
      </c>
      <c r="J145" t="s">
        <v>22</v>
      </c>
      <c r="K145" t="s">
        <v>18</v>
      </c>
      <c r="L145" t="s">
        <v>34</v>
      </c>
      <c r="M145" t="s">
        <v>24</v>
      </c>
      <c r="N145" t="str">
        <f t="shared" si="5"/>
        <v>High Sales</v>
      </c>
    </row>
    <row r="146" spans="1:14" x14ac:dyDescent="0.3">
      <c r="A146" t="s">
        <v>181</v>
      </c>
      <c r="B146" s="1">
        <v>45071</v>
      </c>
      <c r="C146" t="s">
        <v>26</v>
      </c>
      <c r="D146" t="s">
        <v>15</v>
      </c>
      <c r="E146" t="s">
        <v>26</v>
      </c>
      <c r="F146">
        <v>4</v>
      </c>
      <c r="G146">
        <v>6895</v>
      </c>
      <c r="H146">
        <v>27580</v>
      </c>
      <c r="I146" t="s">
        <v>16</v>
      </c>
      <c r="J146" t="s">
        <v>27</v>
      </c>
      <c r="K146" t="s">
        <v>18</v>
      </c>
      <c r="L146" t="s">
        <v>19</v>
      </c>
      <c r="M146" t="s">
        <v>28</v>
      </c>
      <c r="N146" t="str">
        <f t="shared" si="5"/>
        <v>High Sales</v>
      </c>
    </row>
    <row r="147" spans="1:14" x14ac:dyDescent="0.3">
      <c r="A147" t="s">
        <v>182</v>
      </c>
      <c r="B147" s="1">
        <v>45072</v>
      </c>
      <c r="C147" t="s">
        <v>38</v>
      </c>
      <c r="D147" t="s">
        <v>39</v>
      </c>
      <c r="E147" t="s">
        <v>39</v>
      </c>
      <c r="F147">
        <v>3</v>
      </c>
      <c r="G147">
        <v>4354</v>
      </c>
      <c r="H147">
        <v>13062</v>
      </c>
      <c r="I147" t="s">
        <v>16</v>
      </c>
      <c r="J147" t="s">
        <v>40</v>
      </c>
      <c r="K147" t="s">
        <v>18</v>
      </c>
      <c r="L147" t="s">
        <v>34</v>
      </c>
      <c r="M147" t="s">
        <v>20</v>
      </c>
      <c r="N147" t="str">
        <f t="shared" si="5"/>
        <v>High Sales</v>
      </c>
    </row>
    <row r="148" spans="1:14" x14ac:dyDescent="0.3">
      <c r="A148" t="s">
        <v>183</v>
      </c>
      <c r="B148" s="1">
        <v>45073</v>
      </c>
      <c r="C148" t="s">
        <v>38</v>
      </c>
      <c r="D148" t="s">
        <v>39</v>
      </c>
      <c r="E148" t="s">
        <v>39</v>
      </c>
      <c r="F148">
        <v>3</v>
      </c>
      <c r="G148">
        <v>1225</v>
      </c>
      <c r="H148">
        <v>3675</v>
      </c>
      <c r="I148" t="s">
        <v>16</v>
      </c>
      <c r="J148" t="s">
        <v>40</v>
      </c>
      <c r="K148" t="s">
        <v>18</v>
      </c>
      <c r="L148" t="s">
        <v>43</v>
      </c>
      <c r="M148" t="s">
        <v>24</v>
      </c>
      <c r="N148" t="str">
        <f t="shared" si="5"/>
        <v>Low Sales</v>
      </c>
    </row>
    <row r="149" spans="1:14" x14ac:dyDescent="0.3">
      <c r="A149" t="s">
        <v>184</v>
      </c>
      <c r="B149" s="1">
        <v>45074</v>
      </c>
      <c r="C149" t="s">
        <v>30</v>
      </c>
      <c r="D149" t="s">
        <v>15</v>
      </c>
      <c r="E149" t="s">
        <v>30</v>
      </c>
      <c r="F149">
        <v>3</v>
      </c>
      <c r="G149">
        <v>5893</v>
      </c>
      <c r="H149">
        <v>17679</v>
      </c>
      <c r="I149" t="s">
        <v>32</v>
      </c>
      <c r="J149" t="s">
        <v>17</v>
      </c>
      <c r="K149" t="s">
        <v>18</v>
      </c>
      <c r="L149" t="s">
        <v>41</v>
      </c>
      <c r="M149" t="s">
        <v>24</v>
      </c>
      <c r="N149" t="str">
        <f t="shared" si="5"/>
        <v>High Sales</v>
      </c>
    </row>
    <row r="150" spans="1:14" x14ac:dyDescent="0.3">
      <c r="A150" t="s">
        <v>185</v>
      </c>
      <c r="B150" s="1">
        <v>45075</v>
      </c>
      <c r="C150" t="s">
        <v>30</v>
      </c>
      <c r="D150" t="s">
        <v>15</v>
      </c>
      <c r="E150" t="s">
        <v>30</v>
      </c>
      <c r="F150">
        <v>1</v>
      </c>
      <c r="G150">
        <v>8022</v>
      </c>
      <c r="H150">
        <v>8022</v>
      </c>
      <c r="I150" t="s">
        <v>16</v>
      </c>
      <c r="J150" t="s">
        <v>40</v>
      </c>
      <c r="K150" t="s">
        <v>18</v>
      </c>
      <c r="L150" t="s">
        <v>34</v>
      </c>
      <c r="M150" t="s">
        <v>24</v>
      </c>
      <c r="N150" t="str">
        <f t="shared" si="5"/>
        <v>Low Sales</v>
      </c>
    </row>
    <row r="151" spans="1:14" x14ac:dyDescent="0.3">
      <c r="A151" t="s">
        <v>186</v>
      </c>
      <c r="B151" s="1">
        <v>45076</v>
      </c>
      <c r="C151" t="s">
        <v>26</v>
      </c>
      <c r="D151" t="s">
        <v>15</v>
      </c>
      <c r="E151" t="s">
        <v>26</v>
      </c>
      <c r="F151">
        <v>4</v>
      </c>
      <c r="G151">
        <v>6600</v>
      </c>
      <c r="H151">
        <v>26400</v>
      </c>
      <c r="I151" t="s">
        <v>16</v>
      </c>
      <c r="J151" t="s">
        <v>17</v>
      </c>
      <c r="K151" t="s">
        <v>18</v>
      </c>
      <c r="L151" t="s">
        <v>34</v>
      </c>
      <c r="M151" t="s">
        <v>20</v>
      </c>
      <c r="N151" t="str">
        <f t="shared" si="5"/>
        <v>High Sales</v>
      </c>
    </row>
    <row r="152" spans="1:14" x14ac:dyDescent="0.3">
      <c r="A152" t="s">
        <v>187</v>
      </c>
      <c r="B152" s="1">
        <v>45077</v>
      </c>
      <c r="C152" t="s">
        <v>30</v>
      </c>
      <c r="D152" t="s">
        <v>15</v>
      </c>
      <c r="E152" t="s">
        <v>30</v>
      </c>
      <c r="F152">
        <v>3</v>
      </c>
      <c r="G152">
        <v>8996</v>
      </c>
      <c r="H152">
        <v>26988</v>
      </c>
      <c r="I152" t="s">
        <v>16</v>
      </c>
      <c r="J152" t="s">
        <v>33</v>
      </c>
      <c r="K152" t="s">
        <v>18</v>
      </c>
      <c r="L152" t="s">
        <v>23</v>
      </c>
      <c r="M152" t="s">
        <v>28</v>
      </c>
      <c r="N152" t="str">
        <f t="shared" si="5"/>
        <v>High Sales</v>
      </c>
    </row>
    <row r="153" spans="1:14" x14ac:dyDescent="0.3">
      <c r="A153" t="s">
        <v>188</v>
      </c>
      <c r="B153" s="1">
        <v>45078</v>
      </c>
      <c r="C153" t="s">
        <v>38</v>
      </c>
      <c r="D153" t="s">
        <v>39</v>
      </c>
      <c r="E153" t="s">
        <v>39</v>
      </c>
      <c r="F153">
        <v>3</v>
      </c>
      <c r="G153">
        <v>8683</v>
      </c>
      <c r="H153">
        <v>26049</v>
      </c>
      <c r="I153" t="s">
        <v>16</v>
      </c>
      <c r="J153" t="s">
        <v>33</v>
      </c>
      <c r="K153" t="s">
        <v>18</v>
      </c>
      <c r="L153" t="s">
        <v>43</v>
      </c>
      <c r="M153" t="s">
        <v>24</v>
      </c>
      <c r="N153" t="str">
        <f t="shared" si="5"/>
        <v>High Sales</v>
      </c>
    </row>
    <row r="154" spans="1:14" x14ac:dyDescent="0.3">
      <c r="A154" t="s">
        <v>189</v>
      </c>
      <c r="B154" s="1">
        <v>45079</v>
      </c>
      <c r="C154" t="s">
        <v>38</v>
      </c>
      <c r="D154" t="s">
        <v>39</v>
      </c>
      <c r="E154" t="s">
        <v>39</v>
      </c>
      <c r="F154">
        <v>1</v>
      </c>
      <c r="G154">
        <v>5642</v>
      </c>
      <c r="H154">
        <v>5642</v>
      </c>
      <c r="I154" t="s">
        <v>16</v>
      </c>
      <c r="J154" t="s">
        <v>27</v>
      </c>
      <c r="K154" t="s">
        <v>18</v>
      </c>
      <c r="L154" t="s">
        <v>43</v>
      </c>
      <c r="M154" t="s">
        <v>28</v>
      </c>
      <c r="N154" t="str">
        <f t="shared" si="5"/>
        <v>Low Sales</v>
      </c>
    </row>
    <row r="155" spans="1:14" x14ac:dyDescent="0.3">
      <c r="A155" t="s">
        <v>190</v>
      </c>
      <c r="B155" s="1">
        <v>45080</v>
      </c>
      <c r="C155" t="s">
        <v>14</v>
      </c>
      <c r="D155" t="s">
        <v>15</v>
      </c>
      <c r="E155" t="s">
        <v>14</v>
      </c>
      <c r="F155">
        <v>3</v>
      </c>
      <c r="G155">
        <v>8679</v>
      </c>
      <c r="H155">
        <v>26037</v>
      </c>
      <c r="I155" t="s">
        <v>16</v>
      </c>
      <c r="J155" t="s">
        <v>17</v>
      </c>
      <c r="K155" t="s">
        <v>18</v>
      </c>
      <c r="L155" t="s">
        <v>41</v>
      </c>
      <c r="M155" t="s">
        <v>20</v>
      </c>
      <c r="N155" t="str">
        <f t="shared" si="5"/>
        <v>High Sales</v>
      </c>
    </row>
    <row r="156" spans="1:14" x14ac:dyDescent="0.3">
      <c r="A156" t="s">
        <v>191</v>
      </c>
      <c r="B156" s="1">
        <v>45081</v>
      </c>
      <c r="C156" t="s">
        <v>38</v>
      </c>
      <c r="D156" t="s">
        <v>39</v>
      </c>
      <c r="E156" t="s">
        <v>39</v>
      </c>
      <c r="F156">
        <v>1</v>
      </c>
      <c r="G156">
        <v>9208</v>
      </c>
      <c r="H156">
        <v>9208</v>
      </c>
      <c r="I156" t="s">
        <v>16</v>
      </c>
      <c r="J156" t="s">
        <v>33</v>
      </c>
      <c r="K156" t="s">
        <v>18</v>
      </c>
      <c r="L156" t="s">
        <v>43</v>
      </c>
      <c r="M156" t="s">
        <v>50</v>
      </c>
      <c r="N156" t="str">
        <f t="shared" si="5"/>
        <v>Low Sales</v>
      </c>
    </row>
    <row r="157" spans="1:14" x14ac:dyDescent="0.3">
      <c r="A157" t="s">
        <v>192</v>
      </c>
      <c r="B157" s="1">
        <v>45082</v>
      </c>
      <c r="C157" t="s">
        <v>26</v>
      </c>
      <c r="D157" t="s">
        <v>15</v>
      </c>
      <c r="E157" t="s">
        <v>26</v>
      </c>
      <c r="F157">
        <v>2</v>
      </c>
      <c r="G157">
        <v>8339</v>
      </c>
      <c r="H157">
        <v>16678</v>
      </c>
      <c r="I157" t="s">
        <v>32</v>
      </c>
      <c r="J157" t="s">
        <v>33</v>
      </c>
      <c r="K157" t="s">
        <v>18</v>
      </c>
      <c r="L157" t="s">
        <v>34</v>
      </c>
      <c r="M157" t="s">
        <v>24</v>
      </c>
      <c r="N157" t="str">
        <f t="shared" si="5"/>
        <v>High Sales</v>
      </c>
    </row>
    <row r="158" spans="1:14" x14ac:dyDescent="0.3">
      <c r="A158" t="s">
        <v>193</v>
      </c>
      <c r="B158" s="1">
        <v>45083</v>
      </c>
      <c r="C158" t="s">
        <v>46</v>
      </c>
      <c r="D158" t="s">
        <v>39</v>
      </c>
      <c r="E158" t="s">
        <v>39</v>
      </c>
      <c r="F158">
        <v>3</v>
      </c>
      <c r="G158">
        <v>3205</v>
      </c>
      <c r="H158">
        <v>9615</v>
      </c>
      <c r="I158" t="s">
        <v>16</v>
      </c>
      <c r="J158" t="s">
        <v>33</v>
      </c>
      <c r="K158" t="s">
        <v>18</v>
      </c>
      <c r="L158" t="s">
        <v>41</v>
      </c>
      <c r="M158" t="s">
        <v>20</v>
      </c>
      <c r="N158" t="str">
        <f t="shared" si="5"/>
        <v>Low Sales</v>
      </c>
    </row>
    <row r="159" spans="1:14" x14ac:dyDescent="0.3">
      <c r="A159" t="s">
        <v>194</v>
      </c>
      <c r="B159" s="1">
        <v>45084</v>
      </c>
      <c r="C159" t="s">
        <v>14</v>
      </c>
      <c r="D159" t="s">
        <v>15</v>
      </c>
      <c r="E159" t="s">
        <v>14</v>
      </c>
      <c r="F159">
        <v>2</v>
      </c>
      <c r="G159">
        <v>2069</v>
      </c>
      <c r="H159">
        <v>4138</v>
      </c>
      <c r="I159" t="s">
        <v>32</v>
      </c>
      <c r="J159" t="s">
        <v>40</v>
      </c>
      <c r="K159" t="s">
        <v>18</v>
      </c>
      <c r="L159" t="s">
        <v>43</v>
      </c>
      <c r="M159" t="s">
        <v>28</v>
      </c>
      <c r="N159" t="str">
        <f t="shared" si="5"/>
        <v>Low Sales</v>
      </c>
    </row>
    <row r="160" spans="1:14" x14ac:dyDescent="0.3">
      <c r="A160" t="s">
        <v>195</v>
      </c>
      <c r="B160" s="1">
        <v>45085</v>
      </c>
      <c r="C160" t="s">
        <v>14</v>
      </c>
      <c r="D160" t="s">
        <v>15</v>
      </c>
      <c r="E160" t="s">
        <v>14</v>
      </c>
      <c r="F160">
        <v>1</v>
      </c>
      <c r="G160">
        <v>4444</v>
      </c>
      <c r="H160">
        <v>4444</v>
      </c>
      <c r="I160" t="s">
        <v>32</v>
      </c>
      <c r="J160" t="s">
        <v>17</v>
      </c>
      <c r="K160" t="s">
        <v>18</v>
      </c>
      <c r="L160" t="s">
        <v>41</v>
      </c>
      <c r="M160" t="s">
        <v>24</v>
      </c>
      <c r="N160" t="str">
        <f t="shared" si="5"/>
        <v>Low Sales</v>
      </c>
    </row>
    <row r="161" spans="1:14" x14ac:dyDescent="0.3">
      <c r="A161" t="s">
        <v>196</v>
      </c>
      <c r="B161" s="1">
        <v>45086</v>
      </c>
      <c r="C161" t="s">
        <v>26</v>
      </c>
      <c r="D161" t="s">
        <v>15</v>
      </c>
      <c r="E161" t="s">
        <v>26</v>
      </c>
      <c r="F161">
        <v>4</v>
      </c>
      <c r="G161">
        <v>2060</v>
      </c>
      <c r="H161">
        <v>8240</v>
      </c>
      <c r="I161" t="s">
        <v>16</v>
      </c>
      <c r="J161" t="s">
        <v>33</v>
      </c>
      <c r="K161" t="s">
        <v>18</v>
      </c>
      <c r="L161" t="s">
        <v>43</v>
      </c>
      <c r="M161" t="s">
        <v>28</v>
      </c>
      <c r="N161" t="str">
        <f t="shared" si="5"/>
        <v>Low Sales</v>
      </c>
    </row>
    <row r="162" spans="1:14" x14ac:dyDescent="0.3">
      <c r="A162" t="s">
        <v>197</v>
      </c>
      <c r="B162" s="1">
        <v>45087</v>
      </c>
      <c r="C162" t="s">
        <v>26</v>
      </c>
      <c r="D162" t="s">
        <v>15</v>
      </c>
      <c r="E162" t="s">
        <v>26</v>
      </c>
      <c r="F162">
        <v>3</v>
      </c>
      <c r="G162">
        <v>3327</v>
      </c>
      <c r="H162">
        <v>9981</v>
      </c>
      <c r="I162" t="s">
        <v>32</v>
      </c>
      <c r="J162" t="s">
        <v>17</v>
      </c>
      <c r="K162" t="s">
        <v>18</v>
      </c>
      <c r="L162" t="s">
        <v>43</v>
      </c>
      <c r="M162" t="s">
        <v>50</v>
      </c>
      <c r="N162" t="str">
        <f t="shared" ref="N162:N193" si="6">IF(H162&gt;=10000,"High Sales","Low Sales")</f>
        <v>Low Sales</v>
      </c>
    </row>
    <row r="163" spans="1:14" x14ac:dyDescent="0.3">
      <c r="A163" t="s">
        <v>198</v>
      </c>
      <c r="B163" s="1">
        <v>45088</v>
      </c>
      <c r="C163" t="s">
        <v>30</v>
      </c>
      <c r="D163" t="s">
        <v>15</v>
      </c>
      <c r="E163" t="s">
        <v>30</v>
      </c>
      <c r="F163">
        <v>1</v>
      </c>
      <c r="G163">
        <v>4420</v>
      </c>
      <c r="H163">
        <v>4420</v>
      </c>
      <c r="I163" t="s">
        <v>32</v>
      </c>
      <c r="J163" t="s">
        <v>22</v>
      </c>
      <c r="K163" t="s">
        <v>18</v>
      </c>
      <c r="L163" t="s">
        <v>23</v>
      </c>
      <c r="M163" t="s">
        <v>24</v>
      </c>
      <c r="N163" t="str">
        <f t="shared" si="6"/>
        <v>Low Sales</v>
      </c>
    </row>
    <row r="164" spans="1:14" x14ac:dyDescent="0.3">
      <c r="A164" t="s">
        <v>199</v>
      </c>
      <c r="B164" s="1">
        <v>45089</v>
      </c>
      <c r="C164" t="s">
        <v>14</v>
      </c>
      <c r="D164" t="s">
        <v>15</v>
      </c>
      <c r="E164" t="s">
        <v>14</v>
      </c>
      <c r="F164">
        <v>4</v>
      </c>
      <c r="G164">
        <v>1301</v>
      </c>
      <c r="H164">
        <v>5204</v>
      </c>
      <c r="I164" t="s">
        <v>32</v>
      </c>
      <c r="J164" t="s">
        <v>22</v>
      </c>
      <c r="K164" t="s">
        <v>18</v>
      </c>
      <c r="L164" t="s">
        <v>43</v>
      </c>
      <c r="M164" t="s">
        <v>24</v>
      </c>
      <c r="N164" t="str">
        <f t="shared" si="6"/>
        <v>Low Sales</v>
      </c>
    </row>
    <row r="165" spans="1:14" x14ac:dyDescent="0.3">
      <c r="A165" t="s">
        <v>200</v>
      </c>
      <c r="B165" s="1">
        <v>45090</v>
      </c>
      <c r="C165" t="s">
        <v>30</v>
      </c>
      <c r="D165" t="s">
        <v>15</v>
      </c>
      <c r="E165" t="s">
        <v>30</v>
      </c>
      <c r="F165">
        <v>4</v>
      </c>
      <c r="G165">
        <v>1606</v>
      </c>
      <c r="H165">
        <v>6424</v>
      </c>
      <c r="I165" t="s">
        <v>32</v>
      </c>
      <c r="J165" t="s">
        <v>40</v>
      </c>
      <c r="K165" t="s">
        <v>18</v>
      </c>
      <c r="L165" t="s">
        <v>41</v>
      </c>
      <c r="M165" t="s">
        <v>28</v>
      </c>
      <c r="N165" t="str">
        <f t="shared" si="6"/>
        <v>Low Sales</v>
      </c>
    </row>
    <row r="166" spans="1:14" x14ac:dyDescent="0.3">
      <c r="A166" t="s">
        <v>201</v>
      </c>
      <c r="B166" s="1">
        <v>45091</v>
      </c>
      <c r="C166" t="s">
        <v>38</v>
      </c>
      <c r="D166" t="s">
        <v>39</v>
      </c>
      <c r="E166" t="s">
        <v>39</v>
      </c>
      <c r="F166">
        <v>2</v>
      </c>
      <c r="G166">
        <v>4170</v>
      </c>
      <c r="H166">
        <v>8340</v>
      </c>
      <c r="I166" t="s">
        <v>32</v>
      </c>
      <c r="J166" t="s">
        <v>22</v>
      </c>
      <c r="K166" t="s">
        <v>18</v>
      </c>
      <c r="L166" t="s">
        <v>34</v>
      </c>
      <c r="M166" t="s">
        <v>24</v>
      </c>
      <c r="N166" t="str">
        <f t="shared" si="6"/>
        <v>Low Sales</v>
      </c>
    </row>
    <row r="167" spans="1:14" x14ac:dyDescent="0.3">
      <c r="A167" t="s">
        <v>202</v>
      </c>
      <c r="B167" s="1">
        <v>45092</v>
      </c>
      <c r="C167" t="s">
        <v>14</v>
      </c>
      <c r="D167" t="s">
        <v>15</v>
      </c>
      <c r="E167" t="s">
        <v>14</v>
      </c>
      <c r="F167">
        <v>1</v>
      </c>
      <c r="G167">
        <v>1699</v>
      </c>
      <c r="H167">
        <v>1699</v>
      </c>
      <c r="I167" t="s">
        <v>32</v>
      </c>
      <c r="J167" t="s">
        <v>27</v>
      </c>
      <c r="K167" t="s">
        <v>18</v>
      </c>
      <c r="L167" t="s">
        <v>23</v>
      </c>
      <c r="M167" t="s">
        <v>20</v>
      </c>
      <c r="N167" t="str">
        <f t="shared" si="6"/>
        <v>Low Sales</v>
      </c>
    </row>
    <row r="168" spans="1:14" x14ac:dyDescent="0.3">
      <c r="A168" t="s">
        <v>203</v>
      </c>
      <c r="B168" s="1">
        <v>45093</v>
      </c>
      <c r="C168" t="s">
        <v>14</v>
      </c>
      <c r="D168" t="s">
        <v>15</v>
      </c>
      <c r="E168" t="s">
        <v>14</v>
      </c>
      <c r="F168">
        <v>4</v>
      </c>
      <c r="G168">
        <v>6088</v>
      </c>
      <c r="H168">
        <v>24352</v>
      </c>
      <c r="I168" t="s">
        <v>32</v>
      </c>
      <c r="J168" t="s">
        <v>17</v>
      </c>
      <c r="K168" t="s">
        <v>18</v>
      </c>
      <c r="L168" t="s">
        <v>43</v>
      </c>
      <c r="M168" t="s">
        <v>20</v>
      </c>
      <c r="N168" t="str">
        <f t="shared" si="6"/>
        <v>High Sales</v>
      </c>
    </row>
    <row r="169" spans="1:14" x14ac:dyDescent="0.3">
      <c r="A169" t="s">
        <v>204</v>
      </c>
      <c r="B169" s="1">
        <v>45094</v>
      </c>
      <c r="C169" t="s">
        <v>46</v>
      </c>
      <c r="D169" t="s">
        <v>39</v>
      </c>
      <c r="E169" t="s">
        <v>39</v>
      </c>
      <c r="F169">
        <v>3</v>
      </c>
      <c r="G169">
        <v>1190</v>
      </c>
      <c r="H169">
        <v>3570</v>
      </c>
      <c r="I169" t="s">
        <v>32</v>
      </c>
      <c r="J169" t="s">
        <v>33</v>
      </c>
      <c r="K169" t="s">
        <v>18</v>
      </c>
      <c r="L169" t="s">
        <v>43</v>
      </c>
      <c r="M169" t="s">
        <v>50</v>
      </c>
      <c r="N169" t="str">
        <f t="shared" si="6"/>
        <v>Low Sales</v>
      </c>
    </row>
    <row r="170" spans="1:14" x14ac:dyDescent="0.3">
      <c r="A170" t="s">
        <v>205</v>
      </c>
      <c r="B170" s="1">
        <v>45095</v>
      </c>
      <c r="C170" t="s">
        <v>14</v>
      </c>
      <c r="D170" t="s">
        <v>15</v>
      </c>
      <c r="E170" t="s">
        <v>14</v>
      </c>
      <c r="F170">
        <v>3</v>
      </c>
      <c r="G170">
        <v>1980</v>
      </c>
      <c r="H170">
        <v>5940</v>
      </c>
      <c r="I170" t="s">
        <v>32</v>
      </c>
      <c r="J170" t="s">
        <v>27</v>
      </c>
      <c r="K170" t="s">
        <v>18</v>
      </c>
      <c r="L170" t="s">
        <v>41</v>
      </c>
      <c r="M170" t="s">
        <v>20</v>
      </c>
      <c r="N170" t="str">
        <f t="shared" si="6"/>
        <v>Low Sales</v>
      </c>
    </row>
    <row r="171" spans="1:14" x14ac:dyDescent="0.3">
      <c r="A171" t="s">
        <v>206</v>
      </c>
      <c r="B171" s="1">
        <v>45096</v>
      </c>
      <c r="C171" t="s">
        <v>38</v>
      </c>
      <c r="D171" t="s">
        <v>39</v>
      </c>
      <c r="E171" t="s">
        <v>39</v>
      </c>
      <c r="F171">
        <v>2</v>
      </c>
      <c r="G171">
        <v>3975</v>
      </c>
      <c r="H171">
        <v>7950</v>
      </c>
      <c r="I171" t="s">
        <v>32</v>
      </c>
      <c r="J171" t="s">
        <v>27</v>
      </c>
      <c r="K171" t="s">
        <v>18</v>
      </c>
      <c r="L171" t="s">
        <v>23</v>
      </c>
      <c r="M171" t="s">
        <v>50</v>
      </c>
      <c r="N171" t="str">
        <f t="shared" si="6"/>
        <v>Low Sales</v>
      </c>
    </row>
    <row r="172" spans="1:14" x14ac:dyDescent="0.3">
      <c r="A172" t="s">
        <v>207</v>
      </c>
      <c r="B172" s="1">
        <v>45097</v>
      </c>
      <c r="C172" t="s">
        <v>30</v>
      </c>
      <c r="D172" t="s">
        <v>15</v>
      </c>
      <c r="E172" t="s">
        <v>30</v>
      </c>
      <c r="F172">
        <v>4</v>
      </c>
      <c r="G172">
        <v>7102</v>
      </c>
      <c r="H172">
        <v>28408</v>
      </c>
      <c r="I172" t="s">
        <v>16</v>
      </c>
      <c r="J172" t="s">
        <v>22</v>
      </c>
      <c r="K172" t="s">
        <v>18</v>
      </c>
      <c r="L172" t="s">
        <v>43</v>
      </c>
      <c r="M172" t="s">
        <v>28</v>
      </c>
      <c r="N172" t="str">
        <f t="shared" si="6"/>
        <v>High Sales</v>
      </c>
    </row>
    <row r="173" spans="1:14" x14ac:dyDescent="0.3">
      <c r="A173" t="s">
        <v>208</v>
      </c>
      <c r="B173" s="1">
        <v>45098</v>
      </c>
      <c r="C173" t="s">
        <v>30</v>
      </c>
      <c r="D173" t="s">
        <v>15</v>
      </c>
      <c r="E173" t="s">
        <v>30</v>
      </c>
      <c r="F173">
        <v>1</v>
      </c>
      <c r="G173">
        <v>2184</v>
      </c>
      <c r="H173">
        <v>2184</v>
      </c>
      <c r="I173" t="s">
        <v>32</v>
      </c>
      <c r="J173" t="s">
        <v>17</v>
      </c>
      <c r="K173" t="s">
        <v>18</v>
      </c>
      <c r="L173" t="s">
        <v>34</v>
      </c>
      <c r="M173" t="s">
        <v>28</v>
      </c>
      <c r="N173" t="str">
        <f t="shared" si="6"/>
        <v>Low Sales</v>
      </c>
    </row>
    <row r="174" spans="1:14" x14ac:dyDescent="0.3">
      <c r="A174" t="s">
        <v>209</v>
      </c>
      <c r="B174" s="1">
        <v>45099</v>
      </c>
      <c r="C174" t="s">
        <v>46</v>
      </c>
      <c r="D174" t="s">
        <v>39</v>
      </c>
      <c r="E174" t="s">
        <v>39</v>
      </c>
      <c r="F174">
        <v>3</v>
      </c>
      <c r="G174">
        <v>4327</v>
      </c>
      <c r="H174">
        <v>12981</v>
      </c>
      <c r="I174" t="s">
        <v>32</v>
      </c>
      <c r="J174" t="s">
        <v>33</v>
      </c>
      <c r="K174" t="s">
        <v>18</v>
      </c>
      <c r="L174" t="s">
        <v>34</v>
      </c>
      <c r="M174" t="s">
        <v>50</v>
      </c>
      <c r="N174" t="str">
        <f t="shared" si="6"/>
        <v>High Sales</v>
      </c>
    </row>
    <row r="175" spans="1:14" x14ac:dyDescent="0.3">
      <c r="A175" t="s">
        <v>210</v>
      </c>
      <c r="B175" s="1">
        <v>45100</v>
      </c>
      <c r="C175" t="s">
        <v>38</v>
      </c>
      <c r="D175" t="s">
        <v>39</v>
      </c>
      <c r="E175" t="s">
        <v>39</v>
      </c>
      <c r="F175">
        <v>4</v>
      </c>
      <c r="G175">
        <v>4394</v>
      </c>
      <c r="H175">
        <v>17576</v>
      </c>
      <c r="I175" t="s">
        <v>16</v>
      </c>
      <c r="J175" t="s">
        <v>27</v>
      </c>
      <c r="K175" t="s">
        <v>18</v>
      </c>
      <c r="L175" t="s">
        <v>43</v>
      </c>
      <c r="M175" t="s">
        <v>20</v>
      </c>
      <c r="N175" t="str">
        <f t="shared" si="6"/>
        <v>High Sales</v>
      </c>
    </row>
    <row r="176" spans="1:14" x14ac:dyDescent="0.3">
      <c r="A176" t="s">
        <v>211</v>
      </c>
      <c r="B176" s="1">
        <v>45101</v>
      </c>
      <c r="C176" t="s">
        <v>30</v>
      </c>
      <c r="D176" t="s">
        <v>15</v>
      </c>
      <c r="E176" t="s">
        <v>30</v>
      </c>
      <c r="F176">
        <v>4</v>
      </c>
      <c r="G176">
        <v>9319</v>
      </c>
      <c r="H176">
        <v>37276</v>
      </c>
      <c r="I176" t="s">
        <v>16</v>
      </c>
      <c r="J176" t="s">
        <v>40</v>
      </c>
      <c r="K176" t="s">
        <v>18</v>
      </c>
      <c r="L176" t="s">
        <v>34</v>
      </c>
      <c r="M176" t="s">
        <v>20</v>
      </c>
      <c r="N176" t="str">
        <f t="shared" si="6"/>
        <v>High Sales</v>
      </c>
    </row>
    <row r="177" spans="1:14" x14ac:dyDescent="0.3">
      <c r="A177" t="s">
        <v>212</v>
      </c>
      <c r="B177" s="1">
        <v>45102</v>
      </c>
      <c r="C177" t="s">
        <v>26</v>
      </c>
      <c r="D177" t="s">
        <v>15</v>
      </c>
      <c r="E177" t="s">
        <v>26</v>
      </c>
      <c r="F177">
        <v>2</v>
      </c>
      <c r="G177">
        <v>2816</v>
      </c>
      <c r="H177">
        <v>5632</v>
      </c>
      <c r="I177" t="s">
        <v>16</v>
      </c>
      <c r="J177" t="s">
        <v>33</v>
      </c>
      <c r="K177" t="s">
        <v>18</v>
      </c>
      <c r="L177" t="s">
        <v>23</v>
      </c>
      <c r="M177" t="s">
        <v>50</v>
      </c>
      <c r="N177" t="str">
        <f t="shared" si="6"/>
        <v>Low Sales</v>
      </c>
    </row>
    <row r="178" spans="1:14" x14ac:dyDescent="0.3">
      <c r="A178" t="s">
        <v>213</v>
      </c>
      <c r="B178" s="1">
        <v>45103</v>
      </c>
      <c r="C178" t="s">
        <v>38</v>
      </c>
      <c r="D178" t="s">
        <v>39</v>
      </c>
      <c r="E178" t="s">
        <v>39</v>
      </c>
      <c r="F178">
        <v>3</v>
      </c>
      <c r="G178">
        <v>6854</v>
      </c>
      <c r="H178">
        <v>20562</v>
      </c>
      <c r="I178" t="s">
        <v>32</v>
      </c>
      <c r="J178" t="s">
        <v>22</v>
      </c>
      <c r="K178" t="s">
        <v>18</v>
      </c>
      <c r="L178" t="s">
        <v>43</v>
      </c>
      <c r="M178" t="s">
        <v>50</v>
      </c>
      <c r="N178" t="str">
        <f t="shared" si="6"/>
        <v>High Sales</v>
      </c>
    </row>
    <row r="179" spans="1:14" x14ac:dyDescent="0.3">
      <c r="A179" t="s">
        <v>214</v>
      </c>
      <c r="B179" s="1">
        <v>45104</v>
      </c>
      <c r="C179" t="s">
        <v>38</v>
      </c>
      <c r="D179" t="s">
        <v>39</v>
      </c>
      <c r="E179" t="s">
        <v>39</v>
      </c>
      <c r="F179">
        <v>3</v>
      </c>
      <c r="G179">
        <v>7709</v>
      </c>
      <c r="H179">
        <v>23127</v>
      </c>
      <c r="I179" t="s">
        <v>32</v>
      </c>
      <c r="J179" t="s">
        <v>17</v>
      </c>
      <c r="K179" t="s">
        <v>18</v>
      </c>
      <c r="L179" t="s">
        <v>41</v>
      </c>
      <c r="M179" t="s">
        <v>28</v>
      </c>
      <c r="N179" t="str">
        <f t="shared" si="6"/>
        <v>High Sales</v>
      </c>
    </row>
    <row r="180" spans="1:14" x14ac:dyDescent="0.3">
      <c r="A180" t="s">
        <v>215</v>
      </c>
      <c r="B180" s="1">
        <v>45105</v>
      </c>
      <c r="C180" t="s">
        <v>46</v>
      </c>
      <c r="D180" t="s">
        <v>39</v>
      </c>
      <c r="E180" t="s">
        <v>39</v>
      </c>
      <c r="F180">
        <v>1</v>
      </c>
      <c r="G180">
        <v>1569</v>
      </c>
      <c r="H180">
        <v>1569</v>
      </c>
      <c r="I180" t="s">
        <v>32</v>
      </c>
      <c r="J180" t="s">
        <v>40</v>
      </c>
      <c r="K180" t="s">
        <v>18</v>
      </c>
      <c r="L180" t="s">
        <v>23</v>
      </c>
      <c r="M180" t="s">
        <v>50</v>
      </c>
      <c r="N180" t="str">
        <f t="shared" si="6"/>
        <v>Low Sales</v>
      </c>
    </row>
    <row r="181" spans="1:14" x14ac:dyDescent="0.3">
      <c r="A181" t="s">
        <v>216</v>
      </c>
      <c r="B181" s="1">
        <v>45106</v>
      </c>
      <c r="C181" t="s">
        <v>30</v>
      </c>
      <c r="D181" t="s">
        <v>15</v>
      </c>
      <c r="E181" t="s">
        <v>30</v>
      </c>
      <c r="F181">
        <v>3</v>
      </c>
      <c r="G181">
        <v>6442</v>
      </c>
      <c r="H181">
        <v>19326</v>
      </c>
      <c r="I181" t="s">
        <v>16</v>
      </c>
      <c r="J181" t="s">
        <v>33</v>
      </c>
      <c r="K181" t="s">
        <v>18</v>
      </c>
      <c r="L181" t="s">
        <v>34</v>
      </c>
      <c r="M181" t="s">
        <v>20</v>
      </c>
      <c r="N181" t="str">
        <f t="shared" si="6"/>
        <v>High Sales</v>
      </c>
    </row>
    <row r="182" spans="1:14" x14ac:dyDescent="0.3">
      <c r="A182" t="s">
        <v>217</v>
      </c>
      <c r="B182" s="1">
        <v>45107</v>
      </c>
      <c r="C182" t="s">
        <v>38</v>
      </c>
      <c r="D182" t="s">
        <v>39</v>
      </c>
      <c r="E182" t="s">
        <v>39</v>
      </c>
      <c r="F182">
        <v>1</v>
      </c>
      <c r="G182">
        <v>2895</v>
      </c>
      <c r="H182">
        <v>2895</v>
      </c>
      <c r="I182" t="s">
        <v>32</v>
      </c>
      <c r="J182" t="s">
        <v>33</v>
      </c>
      <c r="K182" t="s">
        <v>18</v>
      </c>
      <c r="L182" t="s">
        <v>43</v>
      </c>
      <c r="M182" t="s">
        <v>50</v>
      </c>
      <c r="N182" t="str">
        <f t="shared" si="6"/>
        <v>Low Sales</v>
      </c>
    </row>
    <row r="183" spans="1:14" x14ac:dyDescent="0.3">
      <c r="A183" t="s">
        <v>218</v>
      </c>
      <c r="B183" s="1">
        <v>45108</v>
      </c>
      <c r="C183" t="s">
        <v>30</v>
      </c>
      <c r="D183" t="s">
        <v>15</v>
      </c>
      <c r="E183" t="s">
        <v>30</v>
      </c>
      <c r="F183">
        <v>3</v>
      </c>
      <c r="G183">
        <v>3733</v>
      </c>
      <c r="H183">
        <v>11199</v>
      </c>
      <c r="I183" t="s">
        <v>32</v>
      </c>
      <c r="J183" t="s">
        <v>27</v>
      </c>
      <c r="K183" t="s">
        <v>18</v>
      </c>
      <c r="L183" t="s">
        <v>23</v>
      </c>
      <c r="M183" t="s">
        <v>50</v>
      </c>
      <c r="N183" t="str">
        <f t="shared" si="6"/>
        <v>High Sales</v>
      </c>
    </row>
    <row r="184" spans="1:14" x14ac:dyDescent="0.3">
      <c r="A184" t="s">
        <v>219</v>
      </c>
      <c r="B184" s="1">
        <v>45109</v>
      </c>
      <c r="C184" t="s">
        <v>26</v>
      </c>
      <c r="D184" t="s">
        <v>15</v>
      </c>
      <c r="E184" t="s">
        <v>26</v>
      </c>
      <c r="F184">
        <v>2</v>
      </c>
      <c r="G184">
        <v>4863</v>
      </c>
      <c r="H184">
        <v>9726</v>
      </c>
      <c r="I184" t="s">
        <v>16</v>
      </c>
      <c r="J184" t="s">
        <v>33</v>
      </c>
      <c r="K184" t="s">
        <v>18</v>
      </c>
      <c r="L184" t="s">
        <v>34</v>
      </c>
      <c r="M184" t="s">
        <v>50</v>
      </c>
      <c r="N184" t="str">
        <f t="shared" si="6"/>
        <v>Low Sales</v>
      </c>
    </row>
    <row r="185" spans="1:14" x14ac:dyDescent="0.3">
      <c r="A185" t="s">
        <v>220</v>
      </c>
      <c r="B185" s="1">
        <v>45110</v>
      </c>
      <c r="C185" t="s">
        <v>46</v>
      </c>
      <c r="D185" t="s">
        <v>39</v>
      </c>
      <c r="E185" t="s">
        <v>39</v>
      </c>
      <c r="F185">
        <v>3</v>
      </c>
      <c r="G185">
        <v>8455</v>
      </c>
      <c r="H185">
        <v>25365</v>
      </c>
      <c r="I185" t="s">
        <v>16</v>
      </c>
      <c r="J185" t="s">
        <v>17</v>
      </c>
      <c r="K185" t="s">
        <v>18</v>
      </c>
      <c r="L185" t="s">
        <v>43</v>
      </c>
      <c r="M185" t="s">
        <v>28</v>
      </c>
      <c r="N185" t="str">
        <f t="shared" si="6"/>
        <v>High Sales</v>
      </c>
    </row>
    <row r="186" spans="1:14" x14ac:dyDescent="0.3">
      <c r="A186" t="s">
        <v>221</v>
      </c>
      <c r="B186" s="1">
        <v>45111</v>
      </c>
      <c r="C186" t="s">
        <v>26</v>
      </c>
      <c r="D186" t="s">
        <v>15</v>
      </c>
      <c r="E186" t="s">
        <v>26</v>
      </c>
      <c r="F186">
        <v>1</v>
      </c>
      <c r="G186">
        <v>5014</v>
      </c>
      <c r="H186">
        <v>5014</v>
      </c>
      <c r="I186" t="s">
        <v>16</v>
      </c>
      <c r="J186" t="s">
        <v>17</v>
      </c>
      <c r="K186" t="s">
        <v>18</v>
      </c>
      <c r="L186" t="s">
        <v>19</v>
      </c>
      <c r="M186" t="s">
        <v>50</v>
      </c>
      <c r="N186" t="str">
        <f t="shared" si="6"/>
        <v>Low Sales</v>
      </c>
    </row>
    <row r="187" spans="1:14" x14ac:dyDescent="0.3">
      <c r="A187" t="s">
        <v>222</v>
      </c>
      <c r="B187" s="1">
        <v>45112</v>
      </c>
      <c r="C187" t="s">
        <v>46</v>
      </c>
      <c r="D187" t="s">
        <v>39</v>
      </c>
      <c r="E187" t="s">
        <v>39</v>
      </c>
      <c r="F187">
        <v>1</v>
      </c>
      <c r="G187">
        <v>2686</v>
      </c>
      <c r="H187">
        <v>2686</v>
      </c>
      <c r="I187" t="s">
        <v>32</v>
      </c>
      <c r="J187" t="s">
        <v>33</v>
      </c>
      <c r="K187" t="s">
        <v>18</v>
      </c>
      <c r="L187" t="s">
        <v>41</v>
      </c>
      <c r="M187" t="s">
        <v>24</v>
      </c>
      <c r="N187" t="str">
        <f t="shared" si="6"/>
        <v>Low Sales</v>
      </c>
    </row>
    <row r="188" spans="1:14" x14ac:dyDescent="0.3">
      <c r="A188" t="s">
        <v>223</v>
      </c>
      <c r="B188" s="1">
        <v>45113</v>
      </c>
      <c r="C188" t="s">
        <v>38</v>
      </c>
      <c r="D188" t="s">
        <v>39</v>
      </c>
      <c r="E188" t="s">
        <v>39</v>
      </c>
      <c r="F188">
        <v>2</v>
      </c>
      <c r="G188">
        <v>4009</v>
      </c>
      <c r="H188">
        <v>8018</v>
      </c>
      <c r="I188" t="s">
        <v>32</v>
      </c>
      <c r="J188" t="s">
        <v>27</v>
      </c>
      <c r="K188" t="s">
        <v>18</v>
      </c>
      <c r="L188" t="s">
        <v>34</v>
      </c>
      <c r="M188" t="s">
        <v>24</v>
      </c>
      <c r="N188" t="str">
        <f t="shared" si="6"/>
        <v>Low Sales</v>
      </c>
    </row>
    <row r="189" spans="1:14" x14ac:dyDescent="0.3">
      <c r="A189" t="s">
        <v>224</v>
      </c>
      <c r="B189" s="1">
        <v>45114</v>
      </c>
      <c r="C189" t="s">
        <v>46</v>
      </c>
      <c r="D189" t="s">
        <v>39</v>
      </c>
      <c r="E189" t="s">
        <v>39</v>
      </c>
      <c r="F189">
        <v>3</v>
      </c>
      <c r="G189">
        <v>8806</v>
      </c>
      <c r="H189">
        <v>26418</v>
      </c>
      <c r="I189" t="s">
        <v>32</v>
      </c>
      <c r="J189" t="s">
        <v>40</v>
      </c>
      <c r="K189" t="s">
        <v>18</v>
      </c>
      <c r="L189" t="s">
        <v>34</v>
      </c>
      <c r="M189" t="s">
        <v>24</v>
      </c>
      <c r="N189" t="str">
        <f t="shared" si="6"/>
        <v>High Sales</v>
      </c>
    </row>
    <row r="190" spans="1:14" x14ac:dyDescent="0.3">
      <c r="A190" t="s">
        <v>225</v>
      </c>
      <c r="B190" s="1">
        <v>45115</v>
      </c>
      <c r="C190" t="s">
        <v>14</v>
      </c>
      <c r="D190" t="s">
        <v>15</v>
      </c>
      <c r="E190" t="s">
        <v>14</v>
      </c>
      <c r="F190">
        <v>3</v>
      </c>
      <c r="G190">
        <v>1154</v>
      </c>
      <c r="H190">
        <v>3462</v>
      </c>
      <c r="I190" t="s">
        <v>32</v>
      </c>
      <c r="J190" t="s">
        <v>40</v>
      </c>
      <c r="K190" t="s">
        <v>18</v>
      </c>
      <c r="L190" t="s">
        <v>19</v>
      </c>
      <c r="M190" t="s">
        <v>20</v>
      </c>
      <c r="N190" t="str">
        <f t="shared" si="6"/>
        <v>Low Sales</v>
      </c>
    </row>
    <row r="191" spans="1:14" x14ac:dyDescent="0.3">
      <c r="A191" t="s">
        <v>226</v>
      </c>
      <c r="B191" s="1">
        <v>45116</v>
      </c>
      <c r="C191" t="s">
        <v>30</v>
      </c>
      <c r="D191" t="s">
        <v>15</v>
      </c>
      <c r="E191" t="s">
        <v>30</v>
      </c>
      <c r="F191">
        <v>2</v>
      </c>
      <c r="G191">
        <v>2409</v>
      </c>
      <c r="H191">
        <v>4818</v>
      </c>
      <c r="I191" t="s">
        <v>16</v>
      </c>
      <c r="J191" t="s">
        <v>27</v>
      </c>
      <c r="K191" t="s">
        <v>18</v>
      </c>
      <c r="L191" t="s">
        <v>19</v>
      </c>
      <c r="M191" t="s">
        <v>20</v>
      </c>
      <c r="N191" t="str">
        <f t="shared" si="6"/>
        <v>Low Sales</v>
      </c>
    </row>
    <row r="192" spans="1:14" x14ac:dyDescent="0.3">
      <c r="A192" t="s">
        <v>227</v>
      </c>
      <c r="B192" s="1">
        <v>45117</v>
      </c>
      <c r="C192" t="s">
        <v>30</v>
      </c>
      <c r="D192" t="s">
        <v>15</v>
      </c>
      <c r="E192" t="s">
        <v>30</v>
      </c>
      <c r="F192">
        <v>3</v>
      </c>
      <c r="G192">
        <v>1784</v>
      </c>
      <c r="H192">
        <v>5352</v>
      </c>
      <c r="I192" t="s">
        <v>32</v>
      </c>
      <c r="J192" t="s">
        <v>22</v>
      </c>
      <c r="K192" t="s">
        <v>18</v>
      </c>
      <c r="L192" t="s">
        <v>23</v>
      </c>
      <c r="M192" t="s">
        <v>50</v>
      </c>
      <c r="N192" t="str">
        <f t="shared" si="6"/>
        <v>Low Sales</v>
      </c>
    </row>
    <row r="193" spans="1:14" x14ac:dyDescent="0.3">
      <c r="A193" t="s">
        <v>228</v>
      </c>
      <c r="B193" s="1">
        <v>45118</v>
      </c>
      <c r="C193" t="s">
        <v>14</v>
      </c>
      <c r="D193" t="s">
        <v>15</v>
      </c>
      <c r="E193" t="s">
        <v>14</v>
      </c>
      <c r="F193">
        <v>3</v>
      </c>
      <c r="G193">
        <v>9096</v>
      </c>
      <c r="H193">
        <v>27288</v>
      </c>
      <c r="I193" t="s">
        <v>32</v>
      </c>
      <c r="J193" t="s">
        <v>17</v>
      </c>
      <c r="K193" t="s">
        <v>18</v>
      </c>
      <c r="L193" t="s">
        <v>41</v>
      </c>
      <c r="M193" t="s">
        <v>24</v>
      </c>
      <c r="N193" t="str">
        <f t="shared" si="6"/>
        <v>High Sales</v>
      </c>
    </row>
    <row r="194" spans="1:14" x14ac:dyDescent="0.3">
      <c r="A194" t="s">
        <v>229</v>
      </c>
      <c r="B194" s="1">
        <v>45119</v>
      </c>
      <c r="C194" t="s">
        <v>26</v>
      </c>
      <c r="D194" t="s">
        <v>15</v>
      </c>
      <c r="E194" t="s">
        <v>26</v>
      </c>
      <c r="F194">
        <v>1</v>
      </c>
      <c r="G194">
        <v>8560</v>
      </c>
      <c r="H194">
        <v>8560</v>
      </c>
      <c r="I194" t="s">
        <v>16</v>
      </c>
      <c r="J194" t="s">
        <v>22</v>
      </c>
      <c r="K194" t="s">
        <v>18</v>
      </c>
      <c r="L194" t="s">
        <v>41</v>
      </c>
      <c r="M194" t="s">
        <v>28</v>
      </c>
      <c r="N194" t="str">
        <f t="shared" ref="N194:N201" si="7">IF(H194&gt;=10000,"High Sales","Low Sales")</f>
        <v>Low Sales</v>
      </c>
    </row>
    <row r="195" spans="1:14" x14ac:dyDescent="0.3">
      <c r="A195" t="s">
        <v>230</v>
      </c>
      <c r="B195" s="1">
        <v>45120</v>
      </c>
      <c r="C195" t="s">
        <v>14</v>
      </c>
      <c r="D195" t="s">
        <v>15</v>
      </c>
      <c r="E195" t="s">
        <v>14</v>
      </c>
      <c r="F195">
        <v>3</v>
      </c>
      <c r="G195">
        <v>8343</v>
      </c>
      <c r="H195">
        <v>25029</v>
      </c>
      <c r="I195" t="s">
        <v>16</v>
      </c>
      <c r="J195" t="s">
        <v>27</v>
      </c>
      <c r="K195" t="s">
        <v>18</v>
      </c>
      <c r="L195" t="s">
        <v>34</v>
      </c>
      <c r="M195" t="s">
        <v>24</v>
      </c>
      <c r="N195" t="str">
        <f t="shared" si="7"/>
        <v>High Sales</v>
      </c>
    </row>
    <row r="196" spans="1:14" x14ac:dyDescent="0.3">
      <c r="A196" t="s">
        <v>231</v>
      </c>
      <c r="B196" s="1">
        <v>45121</v>
      </c>
      <c r="C196" t="s">
        <v>38</v>
      </c>
      <c r="D196" t="s">
        <v>39</v>
      </c>
      <c r="E196" t="s">
        <v>39</v>
      </c>
      <c r="F196">
        <v>3</v>
      </c>
      <c r="G196">
        <v>8206</v>
      </c>
      <c r="H196">
        <v>24618</v>
      </c>
      <c r="I196" t="s">
        <v>16</v>
      </c>
      <c r="J196" t="s">
        <v>22</v>
      </c>
      <c r="K196" t="s">
        <v>18</v>
      </c>
      <c r="L196" t="s">
        <v>19</v>
      </c>
      <c r="M196" t="s">
        <v>24</v>
      </c>
      <c r="N196" t="str">
        <f t="shared" si="7"/>
        <v>High Sales</v>
      </c>
    </row>
    <row r="197" spans="1:14" x14ac:dyDescent="0.3">
      <c r="A197" t="s">
        <v>232</v>
      </c>
      <c r="B197" s="1">
        <v>45122</v>
      </c>
      <c r="C197" t="s">
        <v>38</v>
      </c>
      <c r="D197" t="s">
        <v>39</v>
      </c>
      <c r="E197" t="s">
        <v>39</v>
      </c>
      <c r="F197">
        <v>2</v>
      </c>
      <c r="G197">
        <v>6596</v>
      </c>
      <c r="H197">
        <v>13192</v>
      </c>
      <c r="I197" t="s">
        <v>32</v>
      </c>
      <c r="J197" t="s">
        <v>27</v>
      </c>
      <c r="K197" t="s">
        <v>18</v>
      </c>
      <c r="L197" t="s">
        <v>41</v>
      </c>
      <c r="M197" t="s">
        <v>20</v>
      </c>
      <c r="N197" t="str">
        <f t="shared" si="7"/>
        <v>High Sales</v>
      </c>
    </row>
    <row r="198" spans="1:14" x14ac:dyDescent="0.3">
      <c r="A198" t="s">
        <v>233</v>
      </c>
      <c r="B198" s="1">
        <v>45123</v>
      </c>
      <c r="C198" t="s">
        <v>30</v>
      </c>
      <c r="D198" t="s">
        <v>15</v>
      </c>
      <c r="E198" t="s">
        <v>30</v>
      </c>
      <c r="F198">
        <v>2</v>
      </c>
      <c r="G198">
        <v>6801</v>
      </c>
      <c r="H198">
        <v>13602</v>
      </c>
      <c r="I198" t="s">
        <v>16</v>
      </c>
      <c r="J198" t="s">
        <v>40</v>
      </c>
      <c r="K198" t="s">
        <v>18</v>
      </c>
      <c r="L198" t="s">
        <v>43</v>
      </c>
      <c r="M198" t="s">
        <v>20</v>
      </c>
      <c r="N198" t="str">
        <f t="shared" si="7"/>
        <v>High Sales</v>
      </c>
    </row>
    <row r="199" spans="1:14" x14ac:dyDescent="0.3">
      <c r="A199" t="s">
        <v>234</v>
      </c>
      <c r="B199" s="1">
        <v>45124</v>
      </c>
      <c r="C199" t="s">
        <v>38</v>
      </c>
      <c r="D199" t="s">
        <v>39</v>
      </c>
      <c r="E199" t="s">
        <v>39</v>
      </c>
      <c r="F199">
        <v>4</v>
      </c>
      <c r="G199">
        <v>3806</v>
      </c>
      <c r="H199">
        <v>15224</v>
      </c>
      <c r="I199" t="s">
        <v>32</v>
      </c>
      <c r="J199" t="s">
        <v>40</v>
      </c>
      <c r="K199" t="s">
        <v>18</v>
      </c>
      <c r="L199" t="s">
        <v>41</v>
      </c>
      <c r="M199" t="s">
        <v>28</v>
      </c>
      <c r="N199" t="str">
        <f t="shared" si="7"/>
        <v>High Sales</v>
      </c>
    </row>
    <row r="200" spans="1:14" x14ac:dyDescent="0.3">
      <c r="A200" t="s">
        <v>235</v>
      </c>
      <c r="B200" s="1">
        <v>45125</v>
      </c>
      <c r="C200" t="s">
        <v>30</v>
      </c>
      <c r="D200" t="s">
        <v>15</v>
      </c>
      <c r="E200" t="s">
        <v>30</v>
      </c>
      <c r="F200">
        <v>1</v>
      </c>
      <c r="G200">
        <v>1537</v>
      </c>
      <c r="H200">
        <v>1537</v>
      </c>
      <c r="I200" t="s">
        <v>16</v>
      </c>
      <c r="J200" t="s">
        <v>22</v>
      </c>
      <c r="K200" t="s">
        <v>18</v>
      </c>
      <c r="L200" t="s">
        <v>34</v>
      </c>
      <c r="M200" t="s">
        <v>20</v>
      </c>
      <c r="N200" t="str">
        <f t="shared" si="7"/>
        <v>Low Sales</v>
      </c>
    </row>
    <row r="201" spans="1:14" x14ac:dyDescent="0.3">
      <c r="A201" t="s">
        <v>236</v>
      </c>
      <c r="B201" s="1">
        <v>45125</v>
      </c>
      <c r="C201" t="s">
        <v>14</v>
      </c>
      <c r="D201" t="s">
        <v>15</v>
      </c>
      <c r="E201" t="s">
        <v>14</v>
      </c>
      <c r="F201">
        <v>3</v>
      </c>
      <c r="G201">
        <v>6986</v>
      </c>
      <c r="H201">
        <v>20958</v>
      </c>
      <c r="I201" t="s">
        <v>16</v>
      </c>
      <c r="J201" t="s">
        <v>22</v>
      </c>
      <c r="K201" t="s">
        <v>18</v>
      </c>
      <c r="L201" t="s">
        <v>41</v>
      </c>
      <c r="M201" t="s">
        <v>28</v>
      </c>
      <c r="N201" t="str">
        <f t="shared" si="7"/>
        <v>High Sales</v>
      </c>
    </row>
  </sheetData>
  <mergeCells count="3">
    <mergeCell ref="P12:R13"/>
    <mergeCell ref="T12:V13"/>
    <mergeCell ref="P22:Q2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CBA7-20C3-45D4-BADB-3B064E8314D2}">
  <dimension ref="A2:K13"/>
  <sheetViews>
    <sheetView workbookViewId="0">
      <selection activeCell="B7" sqref="B7"/>
    </sheetView>
  </sheetViews>
  <sheetFormatPr defaultRowHeight="14.4" x14ac:dyDescent="0.3"/>
  <cols>
    <col min="1" max="1" width="15.21875" customWidth="1"/>
    <col min="2" max="2" width="15.77734375" bestFit="1" customWidth="1"/>
    <col min="4" max="4" width="12.44140625" bestFit="1" customWidth="1"/>
    <col min="5" max="5" width="15.77734375" bestFit="1" customWidth="1"/>
    <col min="7" max="7" width="12.44140625" bestFit="1" customWidth="1"/>
    <col min="8" max="8" width="15.77734375" bestFit="1" customWidth="1"/>
    <col min="10" max="10" width="12.44140625" bestFit="1" customWidth="1"/>
    <col min="11" max="11" width="15.77734375" bestFit="1" customWidth="1"/>
  </cols>
  <sheetData>
    <row r="2" spans="1:11" x14ac:dyDescent="0.3">
      <c r="A2" s="24" t="s">
        <v>257</v>
      </c>
      <c r="D2" s="25" t="s">
        <v>258</v>
      </c>
      <c r="G2" s="25" t="s">
        <v>259</v>
      </c>
      <c r="J2" s="25" t="s">
        <v>260</v>
      </c>
    </row>
    <row r="4" spans="1:11" x14ac:dyDescent="0.3">
      <c r="A4" s="17" t="s">
        <v>248</v>
      </c>
      <c r="B4" t="s">
        <v>253</v>
      </c>
      <c r="D4" s="17" t="s">
        <v>248</v>
      </c>
      <c r="E4" t="s">
        <v>253</v>
      </c>
      <c r="G4" s="17" t="s">
        <v>248</v>
      </c>
      <c r="H4" t="s">
        <v>253</v>
      </c>
      <c r="J4" s="17" t="s">
        <v>248</v>
      </c>
      <c r="K4" t="s">
        <v>253</v>
      </c>
    </row>
    <row r="5" spans="1:11" x14ac:dyDescent="0.3">
      <c r="A5" s="18" t="s">
        <v>254</v>
      </c>
      <c r="B5" s="42">
        <v>2819103</v>
      </c>
      <c r="D5" s="18" t="s">
        <v>26</v>
      </c>
      <c r="E5" s="42">
        <v>511222</v>
      </c>
      <c r="G5" s="18" t="s">
        <v>40</v>
      </c>
      <c r="H5" s="42">
        <v>511209</v>
      </c>
      <c r="J5" s="18" t="s">
        <v>34</v>
      </c>
      <c r="K5" s="20">
        <v>0.25866383739792409</v>
      </c>
    </row>
    <row r="6" spans="1:11" x14ac:dyDescent="0.3">
      <c r="A6" s="19" t="s">
        <v>250</v>
      </c>
      <c r="B6" s="42">
        <v>490492</v>
      </c>
      <c r="D6" s="18" t="s">
        <v>30</v>
      </c>
      <c r="E6" s="42">
        <v>649959</v>
      </c>
      <c r="G6" s="18" t="s">
        <v>27</v>
      </c>
      <c r="H6" s="42">
        <v>578695</v>
      </c>
      <c r="J6" s="18" t="s">
        <v>43</v>
      </c>
      <c r="K6" s="20">
        <v>0.19203590645677013</v>
      </c>
    </row>
    <row r="7" spans="1:11" x14ac:dyDescent="0.3">
      <c r="A7" s="19" t="s">
        <v>251</v>
      </c>
      <c r="B7" s="42">
        <v>407528</v>
      </c>
      <c r="D7" s="18" t="s">
        <v>46</v>
      </c>
      <c r="E7" s="42">
        <v>440358</v>
      </c>
      <c r="G7" s="18" t="s">
        <v>17</v>
      </c>
      <c r="H7" s="42">
        <v>609450</v>
      </c>
      <c r="J7" s="18" t="s">
        <v>23</v>
      </c>
      <c r="K7" s="20">
        <v>0.19430542268232129</v>
      </c>
    </row>
    <row r="8" spans="1:11" x14ac:dyDescent="0.3">
      <c r="A8" s="19" t="s">
        <v>252</v>
      </c>
      <c r="B8" s="42">
        <v>428233</v>
      </c>
      <c r="D8" s="18" t="s">
        <v>14</v>
      </c>
      <c r="E8" s="42">
        <v>631823</v>
      </c>
      <c r="G8" s="18" t="s">
        <v>22</v>
      </c>
      <c r="H8" s="42">
        <v>579676</v>
      </c>
      <c r="J8" s="18" t="s">
        <v>19</v>
      </c>
      <c r="K8" s="20">
        <v>0.17944360316029603</v>
      </c>
    </row>
    <row r="9" spans="1:11" x14ac:dyDescent="0.3">
      <c r="A9" s="19" t="s">
        <v>262</v>
      </c>
      <c r="B9" s="42">
        <v>440961</v>
      </c>
      <c r="D9" s="18" t="s">
        <v>38</v>
      </c>
      <c r="E9" s="42">
        <v>585741</v>
      </c>
      <c r="G9" s="18" t="s">
        <v>33</v>
      </c>
      <c r="H9" s="42">
        <v>540073</v>
      </c>
      <c r="J9" s="18" t="s">
        <v>41</v>
      </c>
      <c r="K9" s="20">
        <v>0.17555123030268849</v>
      </c>
    </row>
    <row r="10" spans="1:11" x14ac:dyDescent="0.3">
      <c r="A10" s="19" t="s">
        <v>263</v>
      </c>
      <c r="B10" s="42">
        <v>440356</v>
      </c>
      <c r="D10" s="18" t="s">
        <v>249</v>
      </c>
      <c r="E10" s="42">
        <v>2819103</v>
      </c>
      <c r="G10" s="18" t="s">
        <v>249</v>
      </c>
      <c r="H10" s="42">
        <v>2819103</v>
      </c>
      <c r="J10" s="18" t="s">
        <v>249</v>
      </c>
      <c r="K10" s="20">
        <v>1</v>
      </c>
    </row>
    <row r="11" spans="1:11" x14ac:dyDescent="0.3">
      <c r="A11" s="19" t="s">
        <v>264</v>
      </c>
      <c r="B11" s="42">
        <v>359467</v>
      </c>
    </row>
    <row r="12" spans="1:11" x14ac:dyDescent="0.3">
      <c r="A12" s="19" t="s">
        <v>265</v>
      </c>
      <c r="B12" s="42">
        <v>252066</v>
      </c>
    </row>
    <row r="13" spans="1:11" x14ac:dyDescent="0.3">
      <c r="A13" s="18" t="s">
        <v>249</v>
      </c>
      <c r="B13" s="42">
        <v>2819103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986D-502D-44DE-8210-4264DA0A7970}">
  <dimension ref="B3:O49"/>
  <sheetViews>
    <sheetView showGridLines="0" tabSelected="1" zoomScale="70" zoomScaleNormal="85" workbookViewId="0">
      <selection activeCell="Y6" sqref="Y6"/>
    </sheetView>
  </sheetViews>
  <sheetFormatPr defaultRowHeight="14.4" x14ac:dyDescent="0.3"/>
  <cols>
    <col min="13" max="16" width="8.88671875" customWidth="1"/>
  </cols>
  <sheetData>
    <row r="3" spans="2:15" ht="31.2" x14ac:dyDescent="0.3">
      <c r="B3" s="27" t="s">
        <v>255</v>
      </c>
      <c r="C3" s="28"/>
      <c r="D3" s="28"/>
      <c r="E3" s="28"/>
      <c r="F3" s="28"/>
      <c r="G3" s="28"/>
      <c r="H3" s="28"/>
      <c r="I3" s="28"/>
      <c r="J3" s="28"/>
      <c r="K3" s="28"/>
      <c r="L3" s="28"/>
      <c r="M3" s="28"/>
      <c r="N3" s="28"/>
      <c r="O3" s="29"/>
    </row>
    <row r="4" spans="2:15" ht="25.8" x14ac:dyDescent="0.3">
      <c r="B4" s="30" t="s">
        <v>256</v>
      </c>
      <c r="C4" s="31"/>
      <c r="D4" s="31"/>
      <c r="E4" s="31"/>
      <c r="F4" s="31"/>
      <c r="G4" s="31"/>
      <c r="H4" s="31"/>
      <c r="I4" s="31"/>
      <c r="J4" s="31"/>
      <c r="K4" s="31"/>
      <c r="L4" s="31"/>
      <c r="M4" s="31"/>
      <c r="N4" s="31"/>
      <c r="O4" s="32"/>
    </row>
    <row r="5" spans="2:15" x14ac:dyDescent="0.3">
      <c r="B5" s="21"/>
      <c r="O5" s="5"/>
    </row>
    <row r="6" spans="2:15" x14ac:dyDescent="0.3">
      <c r="B6" s="21"/>
      <c r="O6" s="5"/>
    </row>
    <row r="7" spans="2:15" x14ac:dyDescent="0.3">
      <c r="B7" s="21"/>
      <c r="O7" s="5"/>
    </row>
    <row r="8" spans="2:15" x14ac:dyDescent="0.3">
      <c r="B8" s="21"/>
      <c r="O8" s="5"/>
    </row>
    <row r="9" spans="2:15" x14ac:dyDescent="0.3">
      <c r="B9" s="21"/>
      <c r="O9" s="5"/>
    </row>
    <row r="10" spans="2:15" x14ac:dyDescent="0.3">
      <c r="B10" s="21"/>
      <c r="O10" s="5"/>
    </row>
    <row r="11" spans="2:15" x14ac:dyDescent="0.3">
      <c r="B11" s="21"/>
      <c r="O11" s="5"/>
    </row>
    <row r="12" spans="2:15" x14ac:dyDescent="0.3">
      <c r="B12" s="21"/>
      <c r="O12" s="5"/>
    </row>
    <row r="13" spans="2:15" x14ac:dyDescent="0.3">
      <c r="B13" s="21"/>
      <c r="O13" s="5"/>
    </row>
    <row r="14" spans="2:15" x14ac:dyDescent="0.3">
      <c r="B14" s="21"/>
      <c r="O14" s="5"/>
    </row>
    <row r="15" spans="2:15" x14ac:dyDescent="0.3">
      <c r="B15" s="21"/>
      <c r="O15" s="5"/>
    </row>
    <row r="16" spans="2:15" x14ac:dyDescent="0.3">
      <c r="B16" s="21"/>
      <c r="O16" s="5"/>
    </row>
    <row r="17" spans="2:15" x14ac:dyDescent="0.3">
      <c r="B17" s="21"/>
      <c r="O17" s="5"/>
    </row>
    <row r="18" spans="2:15" x14ac:dyDescent="0.3">
      <c r="B18" s="21"/>
      <c r="O18" s="5"/>
    </row>
    <row r="19" spans="2:15" x14ac:dyDescent="0.3">
      <c r="B19" s="21"/>
      <c r="O19" s="5"/>
    </row>
    <row r="20" spans="2:15" x14ac:dyDescent="0.3">
      <c r="B20" s="21"/>
      <c r="O20" s="5"/>
    </row>
    <row r="21" spans="2:15" x14ac:dyDescent="0.3">
      <c r="B21" s="21"/>
      <c r="O21" s="5"/>
    </row>
    <row r="22" spans="2:15" x14ac:dyDescent="0.3">
      <c r="B22" s="21"/>
      <c r="O22" s="5"/>
    </row>
    <row r="23" spans="2:15" x14ac:dyDescent="0.3">
      <c r="B23" s="21"/>
      <c r="O23" s="5"/>
    </row>
    <row r="24" spans="2:15" x14ac:dyDescent="0.3">
      <c r="B24" s="21"/>
      <c r="O24" s="5"/>
    </row>
    <row r="25" spans="2:15" x14ac:dyDescent="0.3">
      <c r="B25" s="21"/>
      <c r="O25" s="5"/>
    </row>
    <row r="26" spans="2:15" x14ac:dyDescent="0.3">
      <c r="B26" s="21"/>
      <c r="O26" s="5"/>
    </row>
    <row r="27" spans="2:15" x14ac:dyDescent="0.3">
      <c r="B27" s="21"/>
      <c r="O27" s="5"/>
    </row>
    <row r="28" spans="2:15" x14ac:dyDescent="0.3">
      <c r="B28" s="21"/>
      <c r="O28" s="5"/>
    </row>
    <row r="29" spans="2:15" x14ac:dyDescent="0.3">
      <c r="B29" s="21"/>
      <c r="O29" s="5"/>
    </row>
    <row r="30" spans="2:15" x14ac:dyDescent="0.3">
      <c r="B30" s="21"/>
      <c r="O30" s="5"/>
    </row>
    <row r="31" spans="2:15" x14ac:dyDescent="0.3">
      <c r="B31" s="21"/>
      <c r="O31" s="5"/>
    </row>
    <row r="32" spans="2:15" x14ac:dyDescent="0.3">
      <c r="B32" s="21"/>
      <c r="O32" s="5"/>
    </row>
    <row r="33" spans="2:15" x14ac:dyDescent="0.3">
      <c r="B33" s="21"/>
      <c r="O33" s="5"/>
    </row>
    <row r="34" spans="2:15" x14ac:dyDescent="0.3">
      <c r="B34" s="21"/>
      <c r="O34" s="5"/>
    </row>
    <row r="35" spans="2:15" x14ac:dyDescent="0.3">
      <c r="B35" s="21"/>
      <c r="O35" s="5"/>
    </row>
    <row r="36" spans="2:15" x14ac:dyDescent="0.3">
      <c r="B36" s="21"/>
      <c r="O36" s="5"/>
    </row>
    <row r="37" spans="2:15" x14ac:dyDescent="0.3">
      <c r="B37" s="21"/>
      <c r="O37" s="5"/>
    </row>
    <row r="38" spans="2:15" x14ac:dyDescent="0.3">
      <c r="B38" s="21"/>
      <c r="O38" s="5"/>
    </row>
    <row r="39" spans="2:15" x14ac:dyDescent="0.3">
      <c r="B39" s="21"/>
      <c r="O39" s="5"/>
    </row>
    <row r="40" spans="2:15" x14ac:dyDescent="0.3">
      <c r="B40" s="21"/>
      <c r="O40" s="5"/>
    </row>
    <row r="41" spans="2:15" x14ac:dyDescent="0.3">
      <c r="B41" s="21"/>
      <c r="O41" s="5"/>
    </row>
    <row r="42" spans="2:15" x14ac:dyDescent="0.3">
      <c r="B42" s="21"/>
      <c r="O42" s="5"/>
    </row>
    <row r="43" spans="2:15" x14ac:dyDescent="0.3">
      <c r="B43" s="21"/>
      <c r="O43" s="5"/>
    </row>
    <row r="44" spans="2:15" x14ac:dyDescent="0.3">
      <c r="B44" s="21"/>
      <c r="O44" s="5"/>
    </row>
    <row r="45" spans="2:15" x14ac:dyDescent="0.3">
      <c r="B45" s="21"/>
      <c r="O45" s="5"/>
    </row>
    <row r="46" spans="2:15" x14ac:dyDescent="0.3">
      <c r="B46" s="21"/>
      <c r="O46" s="5"/>
    </row>
    <row r="47" spans="2:15" x14ac:dyDescent="0.3">
      <c r="B47" s="21"/>
      <c r="O47" s="5"/>
    </row>
    <row r="48" spans="2:15" x14ac:dyDescent="0.3">
      <c r="B48" s="21"/>
      <c r="O48" s="5"/>
    </row>
    <row r="49" spans="2:15" x14ac:dyDescent="0.3">
      <c r="B49" s="22"/>
      <c r="C49" s="23"/>
      <c r="D49" s="23"/>
      <c r="E49" s="23"/>
      <c r="F49" s="23"/>
      <c r="G49" s="23"/>
      <c r="H49" s="23"/>
      <c r="I49" s="23"/>
      <c r="J49" s="23"/>
      <c r="K49" s="23"/>
      <c r="L49" s="23"/>
      <c r="M49" s="23"/>
      <c r="N49" s="23"/>
      <c r="O49" s="6"/>
    </row>
  </sheetData>
  <mergeCells count="2">
    <mergeCell ref="B3:O3"/>
    <mergeCell ref="B4:O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13</vt:i4>
      </vt:variant>
    </vt:vector>
  </HeadingPairs>
  <TitlesOfParts>
    <vt:vector size="16" baseType="lpstr">
      <vt:lpstr>Reliance_Finance_Sales_Dataset.</vt:lpstr>
      <vt:lpstr>Pivot Table</vt:lpstr>
      <vt:lpstr>Dashboard</vt:lpstr>
      <vt:lpstr>Branch</vt:lpstr>
      <vt:lpstr>Category</vt:lpstr>
      <vt:lpstr>Country</vt:lpstr>
      <vt:lpstr>Gender</vt:lpstr>
      <vt:lpstr>OrderDate</vt:lpstr>
      <vt:lpstr>OrderID</vt:lpstr>
      <vt:lpstr>PaymentMode</vt:lpstr>
      <vt:lpstr>ProductName</vt:lpstr>
      <vt:lpstr>Quantity</vt:lpstr>
      <vt:lpstr>Region</vt:lpstr>
      <vt:lpstr>SubCategory</vt:lpstr>
      <vt:lpstr>TotalSales</vt:lpstr>
      <vt:lpstr>UnitPrice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Kashmira</dc:creator>
  <cp:lastModifiedBy>Kashmira Lawate</cp:lastModifiedBy>
  <dcterms:created xsi:type="dcterms:W3CDTF">2026-10-02T11:58:39Z</dcterms:created>
  <dcterms:modified xsi:type="dcterms:W3CDTF">2026-10-23T06:55:30Z</dcterms:modified>
</cp:coreProperties>
</file>